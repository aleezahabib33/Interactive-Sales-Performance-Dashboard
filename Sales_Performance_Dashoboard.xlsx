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D7DA8C548FC56012/Documents/"/>
    </mc:Choice>
  </mc:AlternateContent>
  <xr:revisionPtr revIDLastSave="6" documentId="8_{4F8726B5-F3B7-4B3B-97DA-F78EA0B71F5A}" xr6:coauthVersionLast="47" xr6:coauthVersionMax="47" xr10:uidLastSave="{B514E2B6-8077-4813-95AB-731CE5B19A80}"/>
  <bookViews>
    <workbookView xWindow="-110" yWindow="-110" windowWidth="19420" windowHeight="10300" activeTab="3" xr2:uid="{3A036274-5289-48B2-9060-B1B7D1AA5F21}"/>
  </bookViews>
  <sheets>
    <sheet name="SalesData" sheetId="1" r:id="rId1"/>
    <sheet name="Analysis" sheetId="2" r:id="rId2"/>
    <sheet name="Visualization" sheetId="4" r:id="rId3"/>
    <sheet name="Dashoboard" sheetId="10" r:id="rId4"/>
  </sheets>
  <definedNames>
    <definedName name="Slicer_Category">#N/A</definedName>
    <definedName name="Slicer_Region">#N/A</definedName>
    <definedName name="Slicer_Sales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 i="10" l="1"/>
  <c r="B6" i="10"/>
  <c r="H6" i="10"/>
  <c r="K6" i="10"/>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alcChain>
</file>

<file path=xl/sharedStrings.xml><?xml version="1.0" encoding="utf-8"?>
<sst xmlns="http://schemas.openxmlformats.org/spreadsheetml/2006/main" count="677" uniqueCount="170">
  <si>
    <t>Order ID</t>
  </si>
  <si>
    <t>Order Date</t>
  </si>
  <si>
    <t>Product</t>
  </si>
  <si>
    <t>Category</t>
  </si>
  <si>
    <t>Region</t>
  </si>
  <si>
    <t>Quantity</t>
  </si>
  <si>
    <t>Sales</t>
  </si>
  <si>
    <t>Profit</t>
  </si>
  <si>
    <t>Laptop</t>
  </si>
  <si>
    <t>Electronics</t>
  </si>
  <si>
    <t>North</t>
  </si>
  <si>
    <t>Furniture</t>
  </si>
  <si>
    <t>South</t>
  </si>
  <si>
    <t>East</t>
  </si>
  <si>
    <t>Salesperson</t>
  </si>
  <si>
    <t>Discount</t>
  </si>
  <si>
    <t>Customer Name</t>
  </si>
  <si>
    <t>Unit Price</t>
  </si>
  <si>
    <t>ORD-0001</t>
  </si>
  <si>
    <t>Maham</t>
  </si>
  <si>
    <t>Desk</t>
  </si>
  <si>
    <t>West</t>
  </si>
  <si>
    <t>Sara</t>
  </si>
  <si>
    <t>ORD-0002</t>
  </si>
  <si>
    <t>Iqra</t>
  </si>
  <si>
    <t>Office Chair</t>
  </si>
  <si>
    <t>Hina</t>
  </si>
  <si>
    <t>ORD-0003</t>
  </si>
  <si>
    <t>Omar</t>
  </si>
  <si>
    <t>Ahmed</t>
  </si>
  <si>
    <t>ORD-0004</t>
  </si>
  <si>
    <t>Fatima</t>
  </si>
  <si>
    <t>Keyboard</t>
  </si>
  <si>
    <t>Accessories</t>
  </si>
  <si>
    <t>Ali</t>
  </si>
  <si>
    <t>ORD-0005</t>
  </si>
  <si>
    <t>ORD-0006</t>
  </si>
  <si>
    <t>Hamza</t>
  </si>
  <si>
    <t>Watch</t>
  </si>
  <si>
    <t>ORD-0007</t>
  </si>
  <si>
    <t>Bilal</t>
  </si>
  <si>
    <t>Bookshelf</t>
  </si>
  <si>
    <t>ORD-0008</t>
  </si>
  <si>
    <t>Backpack</t>
  </si>
  <si>
    <t>ORD-0009</t>
  </si>
  <si>
    <t>ORD-0010</t>
  </si>
  <si>
    <t>Zain</t>
  </si>
  <si>
    <t>ORD-0011</t>
  </si>
  <si>
    <t>Smartphone</t>
  </si>
  <si>
    <t>Usman</t>
  </si>
  <si>
    <t>ORD-0012</t>
  </si>
  <si>
    <t>Ayesha</t>
  </si>
  <si>
    <t>ORD-0013</t>
  </si>
  <si>
    <t>ORD-0014</t>
  </si>
  <si>
    <t>ORD-0015</t>
  </si>
  <si>
    <t>ORD-0016</t>
  </si>
  <si>
    <t>ORD-0017</t>
  </si>
  <si>
    <t>ORD-0018</t>
  </si>
  <si>
    <t>Noor</t>
  </si>
  <si>
    <t>Headphones</t>
  </si>
  <si>
    <t>ORD-0019</t>
  </si>
  <si>
    <t>ORD-0020</t>
  </si>
  <si>
    <t>Daniyal</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</si>
  <si>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</si>
  <si>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</si>
  <si>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</si>
  <si>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</si>
  <si>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</si>
  <si>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</si>
  <si>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</si>
  <si>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</si>
  <si>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</si>
  <si>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</si>
  <si>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</si>
  <si>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</si>
  <si>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</si>
  <si>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</si>
  <si>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</si>
  <si>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</si>
  <si>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</si>
  <si>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</si>
  <si>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</si>
  <si>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</si>
  <si>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</si>
  <si>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</si>
  <si>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</si>
  <si>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</si>
  <si>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</si>
  <si>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</si>
  <si>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</si>
  <si>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</si>
  <si>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</si>
  <si>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</si>
  <si>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</si>
  <si>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</si>
  <si>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</si>
  <si>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</si>
  <si>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</si>
  <si>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</si>
  <si>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</si>
  <si>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</si>
  <si>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</si>
  <si>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</si>
  <si>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</si>
  <si>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</si>
  <si>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</si>
  <si>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</si>
  <si>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</si>
  <si>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</si>
  <si>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</si>
  <si>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</si>
  <si>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</si>
  <si>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</si>
  <si>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</si>
  <si>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</si>
  <si>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</si>
  <si>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</si>
  <si>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</si>
  <si>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</si>
  <si>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</si>
  <si>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</si>
  <si>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</si>
  <si>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</si>
  <si>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</si>
  <si>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</si>
  <si>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</si>
  <si>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</si>
  <si>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</si>
  <si>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</si>
  <si>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</si>
  <si>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</si>
  <si>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</si>
  <si>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</si>
  <si>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</si>
  <si>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</si>
  <si>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</si>
  <si>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</si>
  <si>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</si>
  <si>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</si>
  <si>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</si>
  <si>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</si>
  <si>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</si>
  <si>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</si>
  <si>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Grand Total</t>
  </si>
  <si>
    <t>Sum of Sales</t>
  </si>
  <si>
    <t>Sum of Profit</t>
  </si>
  <si>
    <t>Jan</t>
  </si>
  <si>
    <t>Month</t>
  </si>
  <si>
    <t>Feb</t>
  </si>
  <si>
    <t>Mar</t>
  </si>
  <si>
    <t>Apr</t>
  </si>
  <si>
    <t>May</t>
  </si>
  <si>
    <t>Jun</t>
  </si>
  <si>
    <t>Month sort</t>
  </si>
  <si>
    <t>Sum of Quantity</t>
  </si>
  <si>
    <t>Products</t>
  </si>
  <si>
    <t>TOTAL SALES</t>
  </si>
  <si>
    <t>TOTAL PROFIT</t>
  </si>
  <si>
    <t>TOTAL QUANTITY</t>
  </si>
  <si>
    <t>TOTAL ORDERS</t>
  </si>
  <si>
    <t>Count of Order ID</t>
  </si>
  <si>
    <t>SALES PERFORMANCE DASHBOARD</t>
  </si>
  <si>
    <t>1. Sales by Region</t>
  </si>
  <si>
    <t>2. Sales by Category</t>
  </si>
  <si>
    <t>3. Monthly Sales &amp; Profit</t>
  </si>
  <si>
    <t>4. Product Perfomance</t>
  </si>
  <si>
    <t>5. Salesperson Performance</t>
  </si>
  <si>
    <t>6. KPI Values</t>
  </si>
  <si>
    <t>Sales Data Analysis</t>
  </si>
  <si>
    <t>Sales Data 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</si>
</sst>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s&quot;#,##0"/>
  </numFmts>
  <fonts count="6" x14ac:knownFonts="1">
    <font>
      <sz val="11"/>
      <color theme="1"/>
      <name val="Calibri"/>
      <family val="2"/>
      <scheme val="minor"/>
    </font>
    <font>
      <sz val="11"/>
      <color theme="1"/>
      <name val="Calibri"/>
      <family val="2"/>
      <scheme val="minor"/>
    </font>
    <font>
      <sz val="11"/>
      <color theme="1"/>
      <name val="Times New Roman"/>
      <family val="1"/>
    </font>
    <font>
      <b/>
      <sz val="22"/>
      <color theme="1"/>
      <name val="Times New Roman"/>
      <family val="1"/>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theme="3"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0" fillId="0" borderId="0" xfId="0"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vertical="center"/>
    </xf>
    <xf numFmtId="0" fontId="4" fillId="2" borderId="1" xfId="0" applyFont="1" applyFill="1" applyBorder="1" applyAlignment="1">
      <alignment horizontal="center"/>
    </xf>
    <xf numFmtId="0" fontId="4" fillId="2" borderId="2" xfId="0" applyFont="1" applyFill="1" applyBorder="1" applyAlignment="1">
      <alignment horizontal="center"/>
    </xf>
    <xf numFmtId="3" fontId="2" fillId="0" borderId="3" xfId="0" applyNumberFormat="1" applyFont="1" applyBorder="1" applyAlignment="1">
      <alignment horizontal="center"/>
    </xf>
    <xf numFmtId="0" fontId="2" fillId="0" borderId="0" xfId="0" applyFont="1" applyAlignment="1"/>
    <xf numFmtId="3" fontId="2" fillId="0" borderId="1" xfId="0" applyNumberFormat="1" applyFont="1" applyBorder="1" applyAlignment="1">
      <alignment horizontal="center"/>
    </xf>
    <xf numFmtId="0" fontId="2" fillId="0" borderId="0" xfId="0" applyFont="1" applyBorder="1"/>
    <xf numFmtId="0" fontId="2" fillId="0" borderId="0" xfId="0" pivotButton="1" applyFont="1"/>
    <xf numFmtId="164" fontId="2" fillId="0" borderId="0" xfId="0" applyNumberFormat="1" applyFont="1"/>
    <xf numFmtId="0" fontId="2" fillId="0" borderId="0" xfId="0" applyFont="1" applyAlignment="1">
      <alignment horizontal="left"/>
    </xf>
    <xf numFmtId="3" fontId="2" fillId="0" borderId="0" xfId="0" applyNumberFormat="1" applyFont="1"/>
    <xf numFmtId="0" fontId="2" fillId="0" borderId="0" xfId="0" applyNumberFormat="1" applyFont="1"/>
    <xf numFmtId="0" fontId="5" fillId="0" borderId="0" xfId="0" applyFont="1" applyAlignment="1"/>
    <xf numFmtId="0" fontId="2" fillId="0" borderId="0" xfId="0" applyFont="1" applyAlignment="1">
      <alignment vertical="center" wrapText="1"/>
    </xf>
    <xf numFmtId="164" fontId="2" fillId="0" borderId="0" xfId="0" applyNumberFormat="1" applyFont="1" applyAlignment="1">
      <alignment vertical="center" wrapText="1"/>
    </xf>
    <xf numFmtId="3" fontId="2" fillId="0" borderId="0" xfId="0" applyNumberFormat="1" applyFont="1" applyAlignment="1">
      <alignment vertical="center" wrapText="1"/>
    </xf>
    <xf numFmtId="9" fontId="2" fillId="0" borderId="0" xfId="1" applyFont="1" applyAlignment="1">
      <alignment vertical="center" wrapText="1"/>
    </xf>
    <xf numFmtId="14" fontId="2" fillId="0" borderId="0" xfId="0" applyNumberFormat="1" applyFont="1"/>
    <xf numFmtId="9" fontId="2" fillId="0" borderId="0" xfId="1" applyFont="1"/>
    <xf numFmtId="0" fontId="5" fillId="0" borderId="0" xfId="0" applyFont="1" applyAlignment="1">
      <alignment horizontal="center"/>
    </xf>
    <xf numFmtId="0" fontId="3" fillId="2" borderId="0" xfId="0" applyFont="1" applyFill="1" applyAlignment="1">
      <alignment horizontal="center" vertical="center"/>
    </xf>
    <xf numFmtId="0" fontId="2" fillId="0" borderId="0" xfId="0" applyFont="1" applyAlignment="1">
      <alignment horizontal="center"/>
    </xf>
    <xf numFmtId="0" fontId="2" fillId="2" borderId="0" xfId="0" applyFont="1" applyFill="1" applyAlignment="1">
      <alignment horizontal="center" vertical="center"/>
    </xf>
  </cellXfs>
  <cellStyles count="2">
    <cellStyle name="Normal" xfId="0" builtinId="0"/>
    <cellStyle name="Per cent" xfId="1" builtinId="5"/>
  </cellStyles>
  <dxfs count="71">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3" formatCode="#,##0"/>
    </dxf>
    <dxf>
      <numFmt numFmtId="3" formatCode="#,##0"/>
    </dxf>
    <dxf>
      <numFmt numFmtId="164" formatCode="&quot;Rs&quot;#,##0"/>
    </dxf>
    <dxf>
      <numFmt numFmtId="164" formatCode="&quot;Rs&quot;#,##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3" formatCode="#,##0"/>
    </dxf>
    <dxf>
      <numFmt numFmtId="0" formatCode="General"/>
    </dxf>
    <dxf>
      <numFmt numFmtId="164" formatCode="&quot;Rs&quot;#,##0"/>
    </dxf>
    <dxf>
      <numFmt numFmtId="164" formatCode="&quot;Rs&quot;#,##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3" formatCode="#,##0"/>
    </dxf>
    <dxf>
      <numFmt numFmtId="164" formatCode="&quot;Rs&quot;#,##0"/>
    </dxf>
    <dxf>
      <numFmt numFmtId="164" formatCode="&quot;Rs&quot;#,##0"/>
    </dxf>
    <dxf>
      <font>
        <name val="Times New Roman"/>
        <family val="1"/>
        <scheme val="none"/>
      </font>
    </dxf>
    <dxf>
      <font>
        <name val="Times New Roman"/>
        <family val="1"/>
        <scheme val="none"/>
      </font>
    </dxf>
    <dxf>
      <font>
        <name val="Times New Roman"/>
        <family val="1"/>
        <scheme val="none"/>
      </font>
    </dxf>
    <dxf>
      <numFmt numFmtId="3" formatCode="#,##0"/>
    </dxf>
    <dxf>
      <numFmt numFmtId="3" formatCode="#,##0"/>
    </dxf>
    <dxf>
      <numFmt numFmtId="3" formatCode="#,##0"/>
    </dxf>
    <dxf>
      <numFmt numFmtId="3" formatCode="#,##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3" formatCode="#,##0"/>
    </dxf>
    <dxf>
      <numFmt numFmtId="3" formatCode="#,##0"/>
    </dxf>
    <dxf>
      <numFmt numFmtId="164" formatCode="&quot;Rs&quot;#,##0"/>
    </dxf>
    <dxf>
      <numFmt numFmtId="164" formatCode="&quot;Rs&quot;#,##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3" formatCode="#,##0"/>
    </dxf>
    <dxf>
      <numFmt numFmtId="164" formatCode="&quot;Rs&quot;#,##0"/>
    </dxf>
    <dxf>
      <numFmt numFmtId="164" formatCode="&quot;Rs&quot;#,##0"/>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3" formatCode="#,##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3" formatCode="#,##0"/>
    </dxf>
    <dxf>
      <font>
        <strike val="0"/>
        <outline val="0"/>
        <shadow val="0"/>
        <u val="none"/>
        <vertAlign val="baseline"/>
        <sz val="11"/>
        <color theme="1"/>
        <name val="Times New Roman"/>
        <family val="1"/>
        <scheme val="none"/>
      </font>
      <numFmt numFmtId="3" formatCode="#,##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19" formatCode="dd/mm/yyyy"/>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[Sales_Data_Analysis.xlsx]Analysis!Sales by Region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Analysis!$B$6</c:f>
              <c:strCache>
                <c:ptCount val="1"/>
                <c:pt idx="0">
                  <c:v>Sum of Sales</c:v>
                </c:pt>
              </c:strCache>
            </c:strRef>
          </c:tx>
          <c:spPr>
            <a:solidFill>
              <a:schemeClr val="accent1"/>
            </a:solidFill>
            <a:ln>
              <a:noFill/>
            </a:ln>
            <a:effectLst/>
          </c:spPr>
          <c:invertIfNegative val="0"/>
          <c:cat>
            <c:strRef>
              <c:f>Analysis!$A$7:$A$11</c:f>
              <c:strCache>
                <c:ptCount val="4"/>
                <c:pt idx="0">
                  <c:v>East</c:v>
                </c:pt>
                <c:pt idx="1">
                  <c:v>North</c:v>
                </c:pt>
                <c:pt idx="2">
                  <c:v>South</c:v>
                </c:pt>
                <c:pt idx="3">
                  <c:v>West</c:v>
                </c:pt>
              </c:strCache>
            </c:strRef>
          </c:cat>
          <c:val>
            <c:numRef>
              <c:f>Analysis!$B$7:$B$11</c:f>
              <c:numCache>
                <c:formatCode>#,##0</c:formatCode>
                <c:ptCount val="4"/>
                <c:pt idx="0">
                  <c:v>3302625</c:v>
                </c:pt>
                <c:pt idx="1">
                  <c:v>2975200</c:v>
                </c:pt>
                <c:pt idx="2">
                  <c:v>1976100</c:v>
                </c:pt>
                <c:pt idx="3">
                  <c:v>1901000</c:v>
                </c:pt>
              </c:numCache>
            </c:numRef>
          </c:val>
          <c:extLst>
            <c:ext xmlns:c16="http://schemas.microsoft.com/office/drawing/2014/chart" uri="{C3380CC4-5D6E-409C-BE32-E72D297353CC}">
              <c16:uniqueId val="{00000004-0FB4-4DA3-BCA6-BD62449EC8DE}"/>
            </c:ext>
          </c:extLst>
        </c:ser>
        <c:ser>
          <c:idx val="1"/>
          <c:order val="1"/>
          <c:tx>
            <c:strRef>
              <c:f>Analysis!$C$6</c:f>
              <c:strCache>
                <c:ptCount val="1"/>
                <c:pt idx="0">
                  <c:v>Count of Order ID</c:v>
                </c:pt>
              </c:strCache>
            </c:strRef>
          </c:tx>
          <c:spPr>
            <a:solidFill>
              <a:schemeClr val="accent2"/>
            </a:solidFill>
            <a:ln>
              <a:noFill/>
            </a:ln>
            <a:effectLst/>
          </c:spPr>
          <c:invertIfNegative val="0"/>
          <c:cat>
            <c:strRef>
              <c:f>Analysis!$A$7:$A$11</c:f>
              <c:strCache>
                <c:ptCount val="4"/>
                <c:pt idx="0">
                  <c:v>East</c:v>
                </c:pt>
                <c:pt idx="1">
                  <c:v>North</c:v>
                </c:pt>
                <c:pt idx="2">
                  <c:v>South</c:v>
                </c:pt>
                <c:pt idx="3">
                  <c:v>West</c:v>
                </c:pt>
              </c:strCache>
            </c:strRef>
          </c:cat>
          <c:val>
            <c:numRef>
              <c:f>Analysis!$C$7:$C$11</c:f>
              <c:numCache>
                <c:formatCode>General</c:formatCode>
                <c:ptCount val="4"/>
                <c:pt idx="0">
                  <c:v>26</c:v>
                </c:pt>
                <c:pt idx="1">
                  <c:v>30</c:v>
                </c:pt>
                <c:pt idx="2">
                  <c:v>19</c:v>
                </c:pt>
                <c:pt idx="3">
                  <c:v>25</c:v>
                </c:pt>
              </c:numCache>
            </c:numRef>
          </c:val>
          <c:extLst>
            <c:ext xmlns:c16="http://schemas.microsoft.com/office/drawing/2014/chart" uri="{C3380CC4-5D6E-409C-BE32-E72D297353CC}">
              <c16:uniqueId val="{00000006-0FB4-4DA3-BCA6-BD62449EC8DE}"/>
            </c:ext>
          </c:extLst>
        </c:ser>
        <c:dLbls>
          <c:showLegendKey val="0"/>
          <c:showVal val="0"/>
          <c:showCatName val="0"/>
          <c:showSerName val="0"/>
          <c:showPercent val="0"/>
          <c:showBubbleSize val="0"/>
        </c:dLbls>
        <c:gapWidth val="219"/>
        <c:overlap val="-27"/>
        <c:axId val="1788764783"/>
        <c:axId val="1788766031"/>
      </c:barChart>
      <c:catAx>
        <c:axId val="1788764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0.46041557305336833"/>
              <c:y val="0.9018285214348206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88766031"/>
        <c:crosses val="autoZero"/>
        <c:auto val="1"/>
        <c:lblAlgn val="ctr"/>
        <c:lblOffset val="100"/>
        <c:noMultiLvlLbl val="0"/>
      </c:catAx>
      <c:valAx>
        <c:axId val="178876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Sales &amp; Coun of Order ID</a:t>
                </a:r>
                <a:endParaRPr lang="en-US" b="1"/>
              </a:p>
            </c:rich>
          </c:tx>
          <c:layout>
            <c:manualLayout>
              <c:xMode val="edge"/>
              <c:yMode val="edge"/>
              <c:x val="2.5195944390732538E-2"/>
              <c:y val="0.14698571775084368"/>
            </c:manualLayout>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8876478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chart>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[Sales_Data_Analysis.xlsx]Analysis!Sales by Category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layout>
        <c:manualLayout>
          <c:xMode val="edge"/>
          <c:yMode val="edge"/>
          <c:x val="0.3764560456487212"/>
          <c:y val="6.37942663982405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5805674831918"/>
          <c:y val="0.20908325308257331"/>
          <c:w val="0.76403449568803905"/>
          <c:h val="0.61478367623401919"/>
        </c:manualLayout>
      </c:layout>
      <c:barChart>
        <c:barDir val="bar"/>
        <c:grouping val="clustered"/>
        <c:varyColors val="0"/>
        <c:ser>
          <c:idx val="0"/>
          <c:order val="0"/>
          <c:tx>
            <c:strRef>
              <c:f>Analysis!$F$6</c:f>
              <c:strCache>
                <c:ptCount val="1"/>
                <c:pt idx="0">
                  <c:v>Total</c:v>
                </c:pt>
              </c:strCache>
            </c:strRef>
          </c:tx>
          <c:spPr>
            <a:solidFill>
              <a:schemeClr val="accent1"/>
            </a:solidFill>
            <a:ln>
              <a:noFill/>
            </a:ln>
            <a:effectLst/>
          </c:spPr>
          <c:invertIfNegative val="0"/>
          <c:cat>
            <c:strRef>
              <c:f>Analysis!$E$7:$E$10</c:f>
              <c:strCache>
                <c:ptCount val="3"/>
                <c:pt idx="0">
                  <c:v>Accessories</c:v>
                </c:pt>
                <c:pt idx="1">
                  <c:v>Electronics</c:v>
                </c:pt>
                <c:pt idx="2">
                  <c:v>Furniture</c:v>
                </c:pt>
              </c:strCache>
            </c:strRef>
          </c:cat>
          <c:val>
            <c:numRef>
              <c:f>Analysis!$F$7:$F$10</c:f>
              <c:numCache>
                <c:formatCode>#,##0</c:formatCode>
                <c:ptCount val="3"/>
                <c:pt idx="0">
                  <c:v>860650</c:v>
                </c:pt>
                <c:pt idx="1">
                  <c:v>5321675</c:v>
                </c:pt>
                <c:pt idx="2">
                  <c:v>3972600</c:v>
                </c:pt>
              </c:numCache>
            </c:numRef>
          </c:val>
          <c:extLst>
            <c:ext xmlns:c16="http://schemas.microsoft.com/office/drawing/2014/chart" uri="{C3380CC4-5D6E-409C-BE32-E72D297353CC}">
              <c16:uniqueId val="{00000000-48D8-43CF-9F4C-2A7C5B2B576D}"/>
            </c:ext>
          </c:extLst>
        </c:ser>
        <c:dLbls>
          <c:showLegendKey val="0"/>
          <c:showVal val="0"/>
          <c:showCatName val="0"/>
          <c:showSerName val="0"/>
          <c:showPercent val="0"/>
          <c:showBubbleSize val="0"/>
        </c:dLbls>
        <c:gapWidth val="182"/>
        <c:axId val="1647273343"/>
        <c:axId val="1647257951"/>
      </c:barChart>
      <c:catAx>
        <c:axId val="1647273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Category</a:t>
                </a:r>
              </a:p>
            </c:rich>
          </c:tx>
          <c:layout>
            <c:manualLayout>
              <c:xMode val="edge"/>
              <c:yMode val="edge"/>
              <c:x val="0"/>
              <c:y val="0.405896621793243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47257951"/>
        <c:crosses val="autoZero"/>
        <c:auto val="1"/>
        <c:lblAlgn val="ctr"/>
        <c:lblOffset val="100"/>
        <c:noMultiLvlLbl val="0"/>
      </c:catAx>
      <c:valAx>
        <c:axId val="1647257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Sales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4727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[Sales_Data_Analysis.xlsx]Analysis!Monthly Sales &amp; Profit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Sales &amp; Profit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Analysis!$B$14</c:f>
              <c:strCache>
                <c:ptCount val="1"/>
                <c:pt idx="0">
                  <c:v>Sum of Profit</c:v>
                </c:pt>
              </c:strCache>
            </c:strRef>
          </c:tx>
          <c:spPr>
            <a:ln w="28575" cap="rnd">
              <a:solidFill>
                <a:schemeClr val="accent1"/>
              </a:solidFill>
              <a:round/>
            </a:ln>
            <a:effectLst/>
          </c:spPr>
          <c:marker>
            <c:symbol val="none"/>
          </c:marker>
          <c:cat>
            <c:strRef>
              <c:f>Analysis!$A$15:$A$21</c:f>
              <c:strCache>
                <c:ptCount val="6"/>
                <c:pt idx="0">
                  <c:v>Jan</c:v>
                </c:pt>
                <c:pt idx="1">
                  <c:v>Feb</c:v>
                </c:pt>
                <c:pt idx="2">
                  <c:v>Mar</c:v>
                </c:pt>
                <c:pt idx="3">
                  <c:v>Apr</c:v>
                </c:pt>
                <c:pt idx="4">
                  <c:v>May</c:v>
                </c:pt>
                <c:pt idx="5">
                  <c:v>Jun</c:v>
                </c:pt>
              </c:strCache>
            </c:strRef>
          </c:cat>
          <c:val>
            <c:numRef>
              <c:f>Analysis!$B$15:$B$21</c:f>
              <c:numCache>
                <c:formatCode>#,##0</c:formatCode>
                <c:ptCount val="6"/>
                <c:pt idx="0">
                  <c:v>340657.75</c:v>
                </c:pt>
                <c:pt idx="1">
                  <c:v>368603.5</c:v>
                </c:pt>
                <c:pt idx="2">
                  <c:v>273172.75</c:v>
                </c:pt>
                <c:pt idx="3">
                  <c:v>110326</c:v>
                </c:pt>
                <c:pt idx="4">
                  <c:v>148773.75</c:v>
                </c:pt>
                <c:pt idx="5">
                  <c:v>422637.25</c:v>
                </c:pt>
              </c:numCache>
            </c:numRef>
          </c:val>
          <c:smooth val="0"/>
          <c:extLst>
            <c:ext xmlns:c16="http://schemas.microsoft.com/office/drawing/2014/chart" uri="{C3380CC4-5D6E-409C-BE32-E72D297353CC}">
              <c16:uniqueId val="{00000000-63F2-4A0E-90C4-4BA63E5753AE}"/>
            </c:ext>
          </c:extLst>
        </c:ser>
        <c:ser>
          <c:idx val="1"/>
          <c:order val="1"/>
          <c:tx>
            <c:strRef>
              <c:f>Analysis!$C$14</c:f>
              <c:strCache>
                <c:ptCount val="1"/>
                <c:pt idx="0">
                  <c:v>Sum of Sales</c:v>
                </c:pt>
              </c:strCache>
            </c:strRef>
          </c:tx>
          <c:spPr>
            <a:ln w="28575" cap="rnd">
              <a:solidFill>
                <a:schemeClr val="accent2"/>
              </a:solidFill>
              <a:round/>
            </a:ln>
            <a:effectLst/>
          </c:spPr>
          <c:marker>
            <c:symbol val="none"/>
          </c:marker>
          <c:cat>
            <c:strRef>
              <c:f>Analysis!$A$15:$A$21</c:f>
              <c:strCache>
                <c:ptCount val="6"/>
                <c:pt idx="0">
                  <c:v>Jan</c:v>
                </c:pt>
                <c:pt idx="1">
                  <c:v>Feb</c:v>
                </c:pt>
                <c:pt idx="2">
                  <c:v>Mar</c:v>
                </c:pt>
                <c:pt idx="3">
                  <c:v>Apr</c:v>
                </c:pt>
                <c:pt idx="4">
                  <c:v>May</c:v>
                </c:pt>
                <c:pt idx="5">
                  <c:v>Jun</c:v>
                </c:pt>
              </c:strCache>
            </c:strRef>
          </c:cat>
          <c:val>
            <c:numRef>
              <c:f>Analysis!$C$15:$C$21</c:f>
              <c:numCache>
                <c:formatCode>#,##0</c:formatCode>
                <c:ptCount val="6"/>
                <c:pt idx="0">
                  <c:v>1803125</c:v>
                </c:pt>
                <c:pt idx="1">
                  <c:v>2089400</c:v>
                </c:pt>
                <c:pt idx="2">
                  <c:v>1820375</c:v>
                </c:pt>
                <c:pt idx="3">
                  <c:v>749750</c:v>
                </c:pt>
                <c:pt idx="4">
                  <c:v>766700</c:v>
                </c:pt>
                <c:pt idx="5">
                  <c:v>2925575</c:v>
                </c:pt>
              </c:numCache>
            </c:numRef>
          </c:val>
          <c:smooth val="0"/>
          <c:extLst>
            <c:ext xmlns:c16="http://schemas.microsoft.com/office/drawing/2014/chart" uri="{C3380CC4-5D6E-409C-BE32-E72D297353CC}">
              <c16:uniqueId val="{00000001-63F2-4A0E-90C4-4BA63E5753AE}"/>
            </c:ext>
          </c:extLst>
        </c:ser>
        <c:dLbls>
          <c:showLegendKey val="0"/>
          <c:showVal val="0"/>
          <c:showCatName val="0"/>
          <c:showSerName val="0"/>
          <c:showPercent val="0"/>
          <c:showBubbleSize val="0"/>
        </c:dLbls>
        <c:smooth val="0"/>
        <c:axId val="1727835167"/>
        <c:axId val="1727833919"/>
      </c:lineChart>
      <c:catAx>
        <c:axId val="1727835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layout>
            <c:manualLayout>
              <c:xMode val="edge"/>
              <c:yMode val="edge"/>
              <c:x val="0.39656102362204726"/>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27833919"/>
        <c:crosses val="autoZero"/>
        <c:auto val="1"/>
        <c:lblAlgn val="ctr"/>
        <c:lblOffset val="100"/>
        <c:noMultiLvlLbl val="0"/>
      </c:catAx>
      <c:valAx>
        <c:axId val="1727833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Sales &amp; Profit</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2783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Product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15579008121367"/>
          <c:y val="0.16708333333333336"/>
          <c:w val="0.54017788679556422"/>
          <c:h val="0.59030876348789729"/>
        </c:manualLayout>
      </c:layout>
      <c:barChart>
        <c:barDir val="bar"/>
        <c:grouping val="clustered"/>
        <c:varyColors val="0"/>
        <c:ser>
          <c:idx val="0"/>
          <c:order val="0"/>
          <c:tx>
            <c:v>Sum of Sales</c:v>
          </c:tx>
          <c:spPr>
            <a:solidFill>
              <a:schemeClr val="accent1"/>
            </a:solidFill>
            <a:ln>
              <a:noFill/>
            </a:ln>
            <a:effectLst/>
          </c:spPr>
          <c:invertIfNegative val="0"/>
          <c:cat>
            <c:strLit>
              <c:ptCount val="9"/>
              <c:pt idx="0">
                <c:v>Laptop</c:v>
              </c:pt>
              <c:pt idx="1">
                <c:v>Smartphone</c:v>
              </c:pt>
              <c:pt idx="2">
                <c:v>Desk</c:v>
              </c:pt>
              <c:pt idx="3">
                <c:v>Bookshelf</c:v>
              </c:pt>
              <c:pt idx="4">
                <c:v>Office Chair</c:v>
              </c:pt>
              <c:pt idx="5">
                <c:v>Watch</c:v>
              </c:pt>
              <c:pt idx="6">
                <c:v>Headphones</c:v>
              </c:pt>
              <c:pt idx="7">
                <c:v>Keyboard</c:v>
              </c:pt>
              <c:pt idx="8">
                <c:v>Backpack</c:v>
              </c:pt>
            </c:strLit>
          </c:cat>
          <c:val>
            <c:numLit>
              <c:formatCode>General</c:formatCode>
              <c:ptCount val="9"/>
              <c:pt idx="0">
                <c:v>3191750</c:v>
              </c:pt>
              <c:pt idx="1">
                <c:v>1861750</c:v>
              </c:pt>
              <c:pt idx="2">
                <c:v>1716000</c:v>
              </c:pt>
              <c:pt idx="3">
                <c:v>1151100</c:v>
              </c:pt>
              <c:pt idx="4">
                <c:v>1105500</c:v>
              </c:pt>
              <c:pt idx="5">
                <c:v>503400</c:v>
              </c:pt>
              <c:pt idx="6">
                <c:v>268175</c:v>
              </c:pt>
              <c:pt idx="7">
                <c:v>195075</c:v>
              </c:pt>
              <c:pt idx="8">
                <c:v>162175</c:v>
              </c:pt>
            </c:numLit>
          </c:val>
          <c:extLst>
            <c:ext xmlns:c16="http://schemas.microsoft.com/office/drawing/2014/chart" uri="{C3380CC4-5D6E-409C-BE32-E72D297353CC}">
              <c16:uniqueId val="{00000000-8CE0-42B2-9802-5D48CF0FC3AA}"/>
            </c:ext>
          </c:extLst>
        </c:ser>
        <c:ser>
          <c:idx val="1"/>
          <c:order val="1"/>
          <c:tx>
            <c:v>Sum of Quantity</c:v>
          </c:tx>
          <c:spPr>
            <a:solidFill>
              <a:schemeClr val="accent2"/>
            </a:solidFill>
            <a:ln>
              <a:noFill/>
            </a:ln>
            <a:effectLst/>
          </c:spPr>
          <c:invertIfNegative val="0"/>
          <c:cat>
            <c:strLit>
              <c:ptCount val="9"/>
              <c:pt idx="0">
                <c:v>Laptop</c:v>
              </c:pt>
              <c:pt idx="1">
                <c:v>Smartphone</c:v>
              </c:pt>
              <c:pt idx="2">
                <c:v>Desk</c:v>
              </c:pt>
              <c:pt idx="3">
                <c:v>Bookshelf</c:v>
              </c:pt>
              <c:pt idx="4">
                <c:v>Office Chair</c:v>
              </c:pt>
              <c:pt idx="5">
                <c:v>Watch</c:v>
              </c:pt>
              <c:pt idx="6">
                <c:v>Headphones</c:v>
              </c:pt>
              <c:pt idx="7">
                <c:v>Keyboard</c:v>
              </c:pt>
              <c:pt idx="8">
                <c:v>Backpack</c:v>
              </c:pt>
            </c:strLit>
          </c:cat>
          <c:val>
            <c:numLit>
              <c:formatCode>General</c:formatCode>
              <c:ptCount val="9"/>
              <c:pt idx="0">
                <c:v>40</c:v>
              </c:pt>
              <c:pt idx="1">
                <c:v>37</c:v>
              </c:pt>
              <c:pt idx="2">
                <c:v>61</c:v>
              </c:pt>
              <c:pt idx="3">
                <c:v>68</c:v>
              </c:pt>
              <c:pt idx="4">
                <c:v>54</c:v>
              </c:pt>
              <c:pt idx="5">
                <c:v>46</c:v>
              </c:pt>
              <c:pt idx="6">
                <c:v>33</c:v>
              </c:pt>
              <c:pt idx="7">
                <c:v>48</c:v>
              </c:pt>
              <c:pt idx="8">
                <c:v>29</c:v>
              </c:pt>
            </c:numLit>
          </c:val>
          <c:extLst>
            <c:ext xmlns:c16="http://schemas.microsoft.com/office/drawing/2014/chart" uri="{C3380CC4-5D6E-409C-BE32-E72D297353CC}">
              <c16:uniqueId val="{00000001-8CE0-42B2-9802-5D48CF0FC3AA}"/>
            </c:ext>
          </c:extLst>
        </c:ser>
        <c:dLbls>
          <c:showLegendKey val="0"/>
          <c:showVal val="0"/>
          <c:showCatName val="0"/>
          <c:showSerName val="0"/>
          <c:showPercent val="0"/>
          <c:showBubbleSize val="0"/>
        </c:dLbls>
        <c:gapWidth val="182"/>
        <c:axId val="1922891423"/>
        <c:axId val="1922893503"/>
      </c:barChart>
      <c:catAx>
        <c:axId val="1922891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22893503"/>
        <c:crosses val="autoZero"/>
        <c:auto val="1"/>
        <c:lblAlgn val="ctr"/>
        <c:lblOffset val="100"/>
        <c:noMultiLvlLbl val="0"/>
      </c:catAx>
      <c:valAx>
        <c:axId val="1922893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Sales &amp; Quantity</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2289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SalesPerson Performance</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5444102284244171"/>
          <c:y val="0.17171296296296296"/>
          <c:w val="0.73598132844780539"/>
          <c:h val="0.60419765237678613"/>
        </c:manualLayout>
      </c:layout>
      <c:barChart>
        <c:barDir val="bar"/>
        <c:grouping val="clustered"/>
        <c:varyColors val="0"/>
        <c:ser>
          <c:idx val="0"/>
          <c:order val="0"/>
          <c:tx>
            <c:v>Sum of Sales</c:v>
          </c:tx>
          <c:spPr>
            <a:solidFill>
              <a:schemeClr val="accent1"/>
            </a:solidFill>
            <a:ln>
              <a:noFill/>
            </a:ln>
            <a:effectLst/>
          </c:spPr>
          <c:invertIfNegative val="0"/>
          <c:cat>
            <c:strLit>
              <c:ptCount val="5"/>
              <c:pt idx="0">
                <c:v>Ahmed</c:v>
              </c:pt>
              <c:pt idx="1">
                <c:v>Ali</c:v>
              </c:pt>
              <c:pt idx="2">
                <c:v>Sara</c:v>
              </c:pt>
              <c:pt idx="3">
                <c:v>Hina</c:v>
              </c:pt>
              <c:pt idx="4">
                <c:v>Usman</c:v>
              </c:pt>
            </c:strLit>
          </c:cat>
          <c:val>
            <c:numLit>
              <c:formatCode>General</c:formatCode>
              <c:ptCount val="5"/>
              <c:pt idx="0">
                <c:v>2550850</c:v>
              </c:pt>
              <c:pt idx="1">
                <c:v>2362125</c:v>
              </c:pt>
              <c:pt idx="2">
                <c:v>1973025</c:v>
              </c:pt>
              <c:pt idx="3">
                <c:v>1695100</c:v>
              </c:pt>
              <c:pt idx="4">
                <c:v>1573825</c:v>
              </c:pt>
            </c:numLit>
          </c:val>
          <c:extLst>
            <c:ext xmlns:c16="http://schemas.microsoft.com/office/drawing/2014/chart" uri="{C3380CC4-5D6E-409C-BE32-E72D297353CC}">
              <c16:uniqueId val="{00000000-2A90-45BE-B795-596F738C1C8F}"/>
            </c:ext>
          </c:extLst>
        </c:ser>
        <c:ser>
          <c:idx val="1"/>
          <c:order val="1"/>
          <c:tx>
            <c:v>Sum of Profit</c:v>
          </c:tx>
          <c:spPr>
            <a:solidFill>
              <a:schemeClr val="accent2"/>
            </a:solidFill>
            <a:ln>
              <a:noFill/>
            </a:ln>
            <a:effectLst/>
          </c:spPr>
          <c:invertIfNegative val="0"/>
          <c:cat>
            <c:strLit>
              <c:ptCount val="5"/>
              <c:pt idx="0">
                <c:v>Ahmed</c:v>
              </c:pt>
              <c:pt idx="1">
                <c:v>Ali</c:v>
              </c:pt>
              <c:pt idx="2">
                <c:v>Sara</c:v>
              </c:pt>
              <c:pt idx="3">
                <c:v>Hina</c:v>
              </c:pt>
              <c:pt idx="4">
                <c:v>Usman</c:v>
              </c:pt>
            </c:strLit>
          </c:cat>
          <c:val>
            <c:numLit>
              <c:formatCode>General</c:formatCode>
              <c:ptCount val="5"/>
              <c:pt idx="0">
                <c:v>398665.75</c:v>
              </c:pt>
              <c:pt idx="1">
                <c:v>405425.5</c:v>
              </c:pt>
              <c:pt idx="2">
                <c:v>334733.5</c:v>
              </c:pt>
              <c:pt idx="3">
                <c:v>252519.5</c:v>
              </c:pt>
              <c:pt idx="4">
                <c:v>272826.75</c:v>
              </c:pt>
            </c:numLit>
          </c:val>
          <c:extLst>
            <c:ext xmlns:c16="http://schemas.microsoft.com/office/drawing/2014/chart" uri="{C3380CC4-5D6E-409C-BE32-E72D297353CC}">
              <c16:uniqueId val="{00000001-2A90-45BE-B795-596F738C1C8F}"/>
            </c:ext>
          </c:extLst>
        </c:ser>
        <c:dLbls>
          <c:showLegendKey val="0"/>
          <c:showVal val="0"/>
          <c:showCatName val="0"/>
          <c:showSerName val="0"/>
          <c:showPercent val="0"/>
          <c:showBubbleSize val="0"/>
        </c:dLbls>
        <c:gapWidth val="182"/>
        <c:axId val="1922891423"/>
        <c:axId val="1922893503"/>
      </c:barChart>
      <c:catAx>
        <c:axId val="1922891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SalesPerson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22893503"/>
        <c:crosses val="autoZero"/>
        <c:auto val="1"/>
        <c:lblAlgn val="ctr"/>
        <c:lblOffset val="100"/>
        <c:noMultiLvlLbl val="0"/>
      </c:catAx>
      <c:valAx>
        <c:axId val="1922893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Sales &amp; Profit</a:t>
                </a:r>
                <a:endParaRPr lang="en-US" b="1"/>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2289142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chart>
  <c:spPr>
    <a:ln>
      <a:solidFill>
        <a:schemeClr val="accent1">
          <a:lumMod val="40000"/>
          <a:lumOff val="60000"/>
        </a:schemeClr>
      </a:solidFill>
    </a:ln>
  </c:spPr>
  <c:txPr>
    <a:bodyPr/>
    <a:lstStyle/>
    <a:p>
      <a:pPr>
        <a:defRPr/>
      </a:pPr>
      <a:endParaRPr lang="en-PK"/>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[Sales_Data_Analysis.xlsx]Analysis!Sales by Region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c:f>
              <c:strCache>
                <c:ptCount val="1"/>
                <c:pt idx="0">
                  <c:v>Sum of Sales</c:v>
                </c:pt>
              </c:strCache>
            </c:strRef>
          </c:tx>
          <c:spPr>
            <a:solidFill>
              <a:schemeClr val="accent1"/>
            </a:solidFill>
            <a:ln>
              <a:noFill/>
            </a:ln>
            <a:effectLst/>
          </c:spPr>
          <c:invertIfNegative val="0"/>
          <c:cat>
            <c:strRef>
              <c:f>Analysis!$A$7:$A$11</c:f>
              <c:strCache>
                <c:ptCount val="4"/>
                <c:pt idx="0">
                  <c:v>East</c:v>
                </c:pt>
                <c:pt idx="1">
                  <c:v>North</c:v>
                </c:pt>
                <c:pt idx="2">
                  <c:v>South</c:v>
                </c:pt>
                <c:pt idx="3">
                  <c:v>West</c:v>
                </c:pt>
              </c:strCache>
            </c:strRef>
          </c:cat>
          <c:val>
            <c:numRef>
              <c:f>Analysis!$B$7:$B$11</c:f>
              <c:numCache>
                <c:formatCode>#,##0</c:formatCode>
                <c:ptCount val="4"/>
                <c:pt idx="0">
                  <c:v>3302625</c:v>
                </c:pt>
                <c:pt idx="1">
                  <c:v>2975200</c:v>
                </c:pt>
                <c:pt idx="2">
                  <c:v>1976100</c:v>
                </c:pt>
                <c:pt idx="3">
                  <c:v>1901000</c:v>
                </c:pt>
              </c:numCache>
            </c:numRef>
          </c:val>
          <c:extLst>
            <c:ext xmlns:c16="http://schemas.microsoft.com/office/drawing/2014/chart" uri="{C3380CC4-5D6E-409C-BE32-E72D297353CC}">
              <c16:uniqueId val="{00000000-29A6-492B-ABEE-D7CC7FDAE97A}"/>
            </c:ext>
          </c:extLst>
        </c:ser>
        <c:ser>
          <c:idx val="1"/>
          <c:order val="1"/>
          <c:tx>
            <c:strRef>
              <c:f>Analysis!$C$6</c:f>
              <c:strCache>
                <c:ptCount val="1"/>
                <c:pt idx="0">
                  <c:v>Count of Order ID</c:v>
                </c:pt>
              </c:strCache>
            </c:strRef>
          </c:tx>
          <c:spPr>
            <a:solidFill>
              <a:schemeClr val="accent2"/>
            </a:solidFill>
            <a:ln>
              <a:noFill/>
            </a:ln>
            <a:effectLst/>
          </c:spPr>
          <c:invertIfNegative val="0"/>
          <c:cat>
            <c:strRef>
              <c:f>Analysis!$A$7:$A$11</c:f>
              <c:strCache>
                <c:ptCount val="4"/>
                <c:pt idx="0">
                  <c:v>East</c:v>
                </c:pt>
                <c:pt idx="1">
                  <c:v>North</c:v>
                </c:pt>
                <c:pt idx="2">
                  <c:v>South</c:v>
                </c:pt>
                <c:pt idx="3">
                  <c:v>West</c:v>
                </c:pt>
              </c:strCache>
            </c:strRef>
          </c:cat>
          <c:val>
            <c:numRef>
              <c:f>Analysis!$C$7:$C$11</c:f>
              <c:numCache>
                <c:formatCode>General</c:formatCode>
                <c:ptCount val="4"/>
                <c:pt idx="0">
                  <c:v>26</c:v>
                </c:pt>
                <c:pt idx="1">
                  <c:v>30</c:v>
                </c:pt>
                <c:pt idx="2">
                  <c:v>19</c:v>
                </c:pt>
                <c:pt idx="3">
                  <c:v>25</c:v>
                </c:pt>
              </c:numCache>
            </c:numRef>
          </c:val>
          <c:extLst>
            <c:ext xmlns:c16="http://schemas.microsoft.com/office/drawing/2014/chart" uri="{C3380CC4-5D6E-409C-BE32-E72D297353CC}">
              <c16:uniqueId val="{00000001-29A6-492B-ABEE-D7CC7FDAE97A}"/>
            </c:ext>
          </c:extLst>
        </c:ser>
        <c:dLbls>
          <c:showLegendKey val="0"/>
          <c:showVal val="0"/>
          <c:showCatName val="0"/>
          <c:showSerName val="0"/>
          <c:showPercent val="0"/>
          <c:showBubbleSize val="0"/>
        </c:dLbls>
        <c:gapWidth val="219"/>
        <c:overlap val="-27"/>
        <c:axId val="1788764783"/>
        <c:axId val="1788766031"/>
      </c:barChart>
      <c:catAx>
        <c:axId val="1788764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0.46041557305336833"/>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88766031"/>
        <c:crosses val="autoZero"/>
        <c:auto val="1"/>
        <c:lblAlgn val="ctr"/>
        <c:lblOffset val="100"/>
        <c:noMultiLvlLbl val="0"/>
      </c:catAx>
      <c:valAx>
        <c:axId val="1788766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Sales &amp; No. of Orders</a:t>
                </a:r>
                <a:endParaRPr lang="en-US" b="1"/>
              </a:p>
            </c:rich>
          </c:tx>
          <c:layout>
            <c:manualLayout>
              <c:xMode val="edge"/>
              <c:yMode val="edge"/>
              <c:x val="2.5195944390732538E-2"/>
              <c:y val="0.146985717750843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8876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[Sales_Data_Analysis.xlsx]Analysis!Sales by Category</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layout>
        <c:manualLayout>
          <c:xMode val="edge"/>
          <c:yMode val="edge"/>
          <c:x val="0.40905972393859086"/>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5805674831918"/>
          <c:y val="0.20908325308257331"/>
          <c:w val="0.76403449568803905"/>
          <c:h val="0.61478367623401919"/>
        </c:manualLayout>
      </c:layout>
      <c:barChart>
        <c:barDir val="bar"/>
        <c:grouping val="clustered"/>
        <c:varyColors val="0"/>
        <c:ser>
          <c:idx val="0"/>
          <c:order val="0"/>
          <c:tx>
            <c:strRef>
              <c:f>Analysis!$F$6</c:f>
              <c:strCache>
                <c:ptCount val="1"/>
                <c:pt idx="0">
                  <c:v>Total</c:v>
                </c:pt>
              </c:strCache>
            </c:strRef>
          </c:tx>
          <c:spPr>
            <a:solidFill>
              <a:schemeClr val="accent1"/>
            </a:solidFill>
            <a:ln>
              <a:noFill/>
            </a:ln>
            <a:effectLst/>
          </c:spPr>
          <c:invertIfNegative val="0"/>
          <c:cat>
            <c:strRef>
              <c:f>Analysis!$E$7:$E$10</c:f>
              <c:strCache>
                <c:ptCount val="3"/>
                <c:pt idx="0">
                  <c:v>Accessories</c:v>
                </c:pt>
                <c:pt idx="1">
                  <c:v>Electronics</c:v>
                </c:pt>
                <c:pt idx="2">
                  <c:v>Furniture</c:v>
                </c:pt>
              </c:strCache>
            </c:strRef>
          </c:cat>
          <c:val>
            <c:numRef>
              <c:f>Analysis!$F$7:$F$10</c:f>
              <c:numCache>
                <c:formatCode>#,##0</c:formatCode>
                <c:ptCount val="3"/>
                <c:pt idx="0">
                  <c:v>860650</c:v>
                </c:pt>
                <c:pt idx="1">
                  <c:v>5321675</c:v>
                </c:pt>
                <c:pt idx="2">
                  <c:v>3972600</c:v>
                </c:pt>
              </c:numCache>
            </c:numRef>
          </c:val>
          <c:extLst>
            <c:ext xmlns:c16="http://schemas.microsoft.com/office/drawing/2014/chart" uri="{C3380CC4-5D6E-409C-BE32-E72D297353CC}">
              <c16:uniqueId val="{00000000-BC8F-4DBB-B584-109650B7D4EC}"/>
            </c:ext>
          </c:extLst>
        </c:ser>
        <c:dLbls>
          <c:showLegendKey val="0"/>
          <c:showVal val="0"/>
          <c:showCatName val="0"/>
          <c:showSerName val="0"/>
          <c:showPercent val="0"/>
          <c:showBubbleSize val="0"/>
        </c:dLbls>
        <c:gapWidth val="182"/>
        <c:axId val="1647273343"/>
        <c:axId val="1647257951"/>
      </c:barChart>
      <c:catAx>
        <c:axId val="1647273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Category</a:t>
                </a:r>
              </a:p>
            </c:rich>
          </c:tx>
          <c:layout>
            <c:manualLayout>
              <c:xMode val="edge"/>
              <c:yMode val="edge"/>
              <c:x val="0"/>
              <c:y val="0.405896621793243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47257951"/>
        <c:crosses val="autoZero"/>
        <c:auto val="1"/>
        <c:lblAlgn val="ctr"/>
        <c:lblOffset val="100"/>
        <c:noMultiLvlLbl val="0"/>
      </c:catAx>
      <c:valAx>
        <c:axId val="1647257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Sales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4727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[Sales_Data_Analysis.xlsx]Analysis!Monthly Sales &amp; Profit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Sales &amp; Profit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Analysis!$B$14</c:f>
              <c:strCache>
                <c:ptCount val="1"/>
                <c:pt idx="0">
                  <c:v>Sum of Profit</c:v>
                </c:pt>
              </c:strCache>
            </c:strRef>
          </c:tx>
          <c:spPr>
            <a:ln w="28575" cap="rnd">
              <a:solidFill>
                <a:schemeClr val="accent1"/>
              </a:solidFill>
              <a:round/>
            </a:ln>
            <a:effectLst/>
          </c:spPr>
          <c:marker>
            <c:symbol val="none"/>
          </c:marker>
          <c:cat>
            <c:strRef>
              <c:f>Analysis!$A$15:$A$21</c:f>
              <c:strCache>
                <c:ptCount val="6"/>
                <c:pt idx="0">
                  <c:v>Jan</c:v>
                </c:pt>
                <c:pt idx="1">
                  <c:v>Feb</c:v>
                </c:pt>
                <c:pt idx="2">
                  <c:v>Mar</c:v>
                </c:pt>
                <c:pt idx="3">
                  <c:v>Apr</c:v>
                </c:pt>
                <c:pt idx="4">
                  <c:v>May</c:v>
                </c:pt>
                <c:pt idx="5">
                  <c:v>Jun</c:v>
                </c:pt>
              </c:strCache>
            </c:strRef>
          </c:cat>
          <c:val>
            <c:numRef>
              <c:f>Analysis!$B$15:$B$21</c:f>
              <c:numCache>
                <c:formatCode>#,##0</c:formatCode>
                <c:ptCount val="6"/>
                <c:pt idx="0">
                  <c:v>340657.75</c:v>
                </c:pt>
                <c:pt idx="1">
                  <c:v>368603.5</c:v>
                </c:pt>
                <c:pt idx="2">
                  <c:v>273172.75</c:v>
                </c:pt>
                <c:pt idx="3">
                  <c:v>110326</c:v>
                </c:pt>
                <c:pt idx="4">
                  <c:v>148773.75</c:v>
                </c:pt>
                <c:pt idx="5">
                  <c:v>422637.25</c:v>
                </c:pt>
              </c:numCache>
            </c:numRef>
          </c:val>
          <c:smooth val="0"/>
          <c:extLst>
            <c:ext xmlns:c16="http://schemas.microsoft.com/office/drawing/2014/chart" uri="{C3380CC4-5D6E-409C-BE32-E72D297353CC}">
              <c16:uniqueId val="{00000000-5043-4A2A-B5AC-0FA8BAF49F4C}"/>
            </c:ext>
          </c:extLst>
        </c:ser>
        <c:ser>
          <c:idx val="1"/>
          <c:order val="1"/>
          <c:tx>
            <c:strRef>
              <c:f>Analysis!$C$14</c:f>
              <c:strCache>
                <c:ptCount val="1"/>
                <c:pt idx="0">
                  <c:v>Sum of Sales</c:v>
                </c:pt>
              </c:strCache>
            </c:strRef>
          </c:tx>
          <c:spPr>
            <a:ln w="28575" cap="rnd">
              <a:solidFill>
                <a:schemeClr val="accent2"/>
              </a:solidFill>
              <a:round/>
            </a:ln>
            <a:effectLst/>
          </c:spPr>
          <c:marker>
            <c:symbol val="none"/>
          </c:marker>
          <c:cat>
            <c:strRef>
              <c:f>Analysis!$A$15:$A$21</c:f>
              <c:strCache>
                <c:ptCount val="6"/>
                <c:pt idx="0">
                  <c:v>Jan</c:v>
                </c:pt>
                <c:pt idx="1">
                  <c:v>Feb</c:v>
                </c:pt>
                <c:pt idx="2">
                  <c:v>Mar</c:v>
                </c:pt>
                <c:pt idx="3">
                  <c:v>Apr</c:v>
                </c:pt>
                <c:pt idx="4">
                  <c:v>May</c:v>
                </c:pt>
                <c:pt idx="5">
                  <c:v>Jun</c:v>
                </c:pt>
              </c:strCache>
            </c:strRef>
          </c:cat>
          <c:val>
            <c:numRef>
              <c:f>Analysis!$C$15:$C$21</c:f>
              <c:numCache>
                <c:formatCode>#,##0</c:formatCode>
                <c:ptCount val="6"/>
                <c:pt idx="0">
                  <c:v>1803125</c:v>
                </c:pt>
                <c:pt idx="1">
                  <c:v>2089400</c:v>
                </c:pt>
                <c:pt idx="2">
                  <c:v>1820375</c:v>
                </c:pt>
                <c:pt idx="3">
                  <c:v>749750</c:v>
                </c:pt>
                <c:pt idx="4">
                  <c:v>766700</c:v>
                </c:pt>
                <c:pt idx="5">
                  <c:v>2925575</c:v>
                </c:pt>
              </c:numCache>
            </c:numRef>
          </c:val>
          <c:smooth val="0"/>
          <c:extLst>
            <c:ext xmlns:c16="http://schemas.microsoft.com/office/drawing/2014/chart" uri="{C3380CC4-5D6E-409C-BE32-E72D297353CC}">
              <c16:uniqueId val="{00000001-5043-4A2A-B5AC-0FA8BAF49F4C}"/>
            </c:ext>
          </c:extLst>
        </c:ser>
        <c:dLbls>
          <c:showLegendKey val="0"/>
          <c:showVal val="0"/>
          <c:showCatName val="0"/>
          <c:showSerName val="0"/>
          <c:showPercent val="0"/>
          <c:showBubbleSize val="0"/>
        </c:dLbls>
        <c:smooth val="0"/>
        <c:axId val="1727835167"/>
        <c:axId val="1727833919"/>
      </c:lineChart>
      <c:catAx>
        <c:axId val="1727835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layout>
            <c:manualLayout>
              <c:xMode val="edge"/>
              <c:yMode val="edge"/>
              <c:x val="0.39656102362204726"/>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27833919"/>
        <c:crosses val="autoZero"/>
        <c:auto val="1"/>
        <c:lblAlgn val="ctr"/>
        <c:lblOffset val="100"/>
        <c:noMultiLvlLbl val="0"/>
      </c:catAx>
      <c:valAx>
        <c:axId val="1727833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Sales &amp; Profit</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2783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Product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15579008121367"/>
          <c:y val="0.16708333333333336"/>
          <c:w val="0.54017788679556422"/>
          <c:h val="0.59030876348789729"/>
        </c:manualLayout>
      </c:layout>
      <c:barChart>
        <c:barDir val="bar"/>
        <c:grouping val="clustered"/>
        <c:varyColors val="0"/>
        <c:ser>
          <c:idx val="0"/>
          <c:order val="0"/>
          <c:tx>
            <c:v>Sum of Sales</c:v>
          </c:tx>
          <c:spPr>
            <a:solidFill>
              <a:schemeClr val="accent1"/>
            </a:solidFill>
            <a:ln>
              <a:noFill/>
            </a:ln>
            <a:effectLst/>
          </c:spPr>
          <c:invertIfNegative val="0"/>
          <c:cat>
            <c:strLit>
              <c:ptCount val="9"/>
              <c:pt idx="0">
                <c:v>Laptop</c:v>
              </c:pt>
              <c:pt idx="1">
                <c:v>Smartphone</c:v>
              </c:pt>
              <c:pt idx="2">
                <c:v>Desk</c:v>
              </c:pt>
              <c:pt idx="3">
                <c:v>Bookshelf</c:v>
              </c:pt>
              <c:pt idx="4">
                <c:v>Office Chair</c:v>
              </c:pt>
              <c:pt idx="5">
                <c:v>Watch</c:v>
              </c:pt>
              <c:pt idx="6">
                <c:v>Headphones</c:v>
              </c:pt>
              <c:pt idx="7">
                <c:v>Keyboard</c:v>
              </c:pt>
              <c:pt idx="8">
                <c:v>Backpack</c:v>
              </c:pt>
            </c:strLit>
          </c:cat>
          <c:val>
            <c:numLit>
              <c:formatCode>General</c:formatCode>
              <c:ptCount val="9"/>
              <c:pt idx="0">
                <c:v>3191750</c:v>
              </c:pt>
              <c:pt idx="1">
                <c:v>1861750</c:v>
              </c:pt>
              <c:pt idx="2">
                <c:v>1716000</c:v>
              </c:pt>
              <c:pt idx="3">
                <c:v>1151100</c:v>
              </c:pt>
              <c:pt idx="4">
                <c:v>1105500</c:v>
              </c:pt>
              <c:pt idx="5">
                <c:v>503400</c:v>
              </c:pt>
              <c:pt idx="6">
                <c:v>268175</c:v>
              </c:pt>
              <c:pt idx="7">
                <c:v>195075</c:v>
              </c:pt>
              <c:pt idx="8">
                <c:v>162175</c:v>
              </c:pt>
            </c:numLit>
          </c:val>
          <c:extLst>
            <c:ext xmlns:c16="http://schemas.microsoft.com/office/drawing/2014/chart" uri="{C3380CC4-5D6E-409C-BE32-E72D297353CC}">
              <c16:uniqueId val="{00000000-6408-484D-9A54-0A88825D68CF}"/>
            </c:ext>
          </c:extLst>
        </c:ser>
        <c:ser>
          <c:idx val="1"/>
          <c:order val="1"/>
          <c:tx>
            <c:v>Sum of Quantity</c:v>
          </c:tx>
          <c:spPr>
            <a:solidFill>
              <a:schemeClr val="accent2"/>
            </a:solidFill>
            <a:ln>
              <a:noFill/>
            </a:ln>
            <a:effectLst/>
          </c:spPr>
          <c:invertIfNegative val="0"/>
          <c:cat>
            <c:strLit>
              <c:ptCount val="9"/>
              <c:pt idx="0">
                <c:v>Laptop</c:v>
              </c:pt>
              <c:pt idx="1">
                <c:v>Smartphone</c:v>
              </c:pt>
              <c:pt idx="2">
                <c:v>Desk</c:v>
              </c:pt>
              <c:pt idx="3">
                <c:v>Bookshelf</c:v>
              </c:pt>
              <c:pt idx="4">
                <c:v>Office Chair</c:v>
              </c:pt>
              <c:pt idx="5">
                <c:v>Watch</c:v>
              </c:pt>
              <c:pt idx="6">
                <c:v>Headphones</c:v>
              </c:pt>
              <c:pt idx="7">
                <c:v>Keyboard</c:v>
              </c:pt>
              <c:pt idx="8">
                <c:v>Backpack</c:v>
              </c:pt>
            </c:strLit>
          </c:cat>
          <c:val>
            <c:numLit>
              <c:formatCode>General</c:formatCode>
              <c:ptCount val="9"/>
              <c:pt idx="0">
                <c:v>40</c:v>
              </c:pt>
              <c:pt idx="1">
                <c:v>37</c:v>
              </c:pt>
              <c:pt idx="2">
                <c:v>61</c:v>
              </c:pt>
              <c:pt idx="3">
                <c:v>68</c:v>
              </c:pt>
              <c:pt idx="4">
                <c:v>54</c:v>
              </c:pt>
              <c:pt idx="5">
                <c:v>46</c:v>
              </c:pt>
              <c:pt idx="6">
                <c:v>33</c:v>
              </c:pt>
              <c:pt idx="7">
                <c:v>48</c:v>
              </c:pt>
              <c:pt idx="8">
                <c:v>29</c:v>
              </c:pt>
            </c:numLit>
          </c:val>
          <c:extLst>
            <c:ext xmlns:c16="http://schemas.microsoft.com/office/drawing/2014/chart" uri="{C3380CC4-5D6E-409C-BE32-E72D297353CC}">
              <c16:uniqueId val="{00000001-6408-484D-9A54-0A88825D68CF}"/>
            </c:ext>
          </c:extLst>
        </c:ser>
        <c:dLbls>
          <c:showLegendKey val="0"/>
          <c:showVal val="0"/>
          <c:showCatName val="0"/>
          <c:showSerName val="0"/>
          <c:showPercent val="0"/>
          <c:showBubbleSize val="0"/>
        </c:dLbls>
        <c:gapWidth val="182"/>
        <c:axId val="1922891423"/>
        <c:axId val="1922893503"/>
      </c:barChart>
      <c:catAx>
        <c:axId val="1922891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22893503"/>
        <c:crosses val="autoZero"/>
        <c:auto val="1"/>
        <c:lblAlgn val="ctr"/>
        <c:lblOffset val="100"/>
        <c:noMultiLvlLbl val="0"/>
      </c:catAx>
      <c:valAx>
        <c:axId val="1922893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Sales &amp; Quantity</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2289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SalesPerson Performance</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5444102284244171"/>
          <c:y val="0.17171296296296296"/>
          <c:w val="0.73598132844780539"/>
          <c:h val="0.60419765237678613"/>
        </c:manualLayout>
      </c:layout>
      <c:barChart>
        <c:barDir val="bar"/>
        <c:grouping val="clustered"/>
        <c:varyColors val="0"/>
        <c:ser>
          <c:idx val="0"/>
          <c:order val="0"/>
          <c:tx>
            <c:v>Sum of Sales</c:v>
          </c:tx>
          <c:spPr>
            <a:solidFill>
              <a:schemeClr val="accent1"/>
            </a:solidFill>
            <a:ln>
              <a:noFill/>
            </a:ln>
            <a:effectLst/>
          </c:spPr>
          <c:invertIfNegative val="0"/>
          <c:cat>
            <c:strLit>
              <c:ptCount val="5"/>
              <c:pt idx="0">
                <c:v>Ahmed</c:v>
              </c:pt>
              <c:pt idx="1">
                <c:v>Ali</c:v>
              </c:pt>
              <c:pt idx="2">
                <c:v>Sara</c:v>
              </c:pt>
              <c:pt idx="3">
                <c:v>Hina</c:v>
              </c:pt>
              <c:pt idx="4">
                <c:v>Usman</c:v>
              </c:pt>
            </c:strLit>
          </c:cat>
          <c:val>
            <c:numLit>
              <c:formatCode>General</c:formatCode>
              <c:ptCount val="5"/>
              <c:pt idx="0">
                <c:v>2550850</c:v>
              </c:pt>
              <c:pt idx="1">
                <c:v>2362125</c:v>
              </c:pt>
              <c:pt idx="2">
                <c:v>1973025</c:v>
              </c:pt>
              <c:pt idx="3">
                <c:v>1695100</c:v>
              </c:pt>
              <c:pt idx="4">
                <c:v>1573825</c:v>
              </c:pt>
            </c:numLit>
          </c:val>
          <c:extLst>
            <c:ext xmlns:c16="http://schemas.microsoft.com/office/drawing/2014/chart" uri="{C3380CC4-5D6E-409C-BE32-E72D297353CC}">
              <c16:uniqueId val="{00000000-45C7-4DD6-BE9E-FCE28FA569F7}"/>
            </c:ext>
          </c:extLst>
        </c:ser>
        <c:ser>
          <c:idx val="1"/>
          <c:order val="1"/>
          <c:tx>
            <c:v>Sum of Profit</c:v>
          </c:tx>
          <c:spPr>
            <a:solidFill>
              <a:schemeClr val="accent2"/>
            </a:solidFill>
            <a:ln>
              <a:noFill/>
            </a:ln>
            <a:effectLst/>
          </c:spPr>
          <c:invertIfNegative val="0"/>
          <c:cat>
            <c:strLit>
              <c:ptCount val="5"/>
              <c:pt idx="0">
                <c:v>Ahmed</c:v>
              </c:pt>
              <c:pt idx="1">
                <c:v>Ali</c:v>
              </c:pt>
              <c:pt idx="2">
                <c:v>Sara</c:v>
              </c:pt>
              <c:pt idx="3">
                <c:v>Hina</c:v>
              </c:pt>
              <c:pt idx="4">
                <c:v>Usman</c:v>
              </c:pt>
            </c:strLit>
          </c:cat>
          <c:val>
            <c:numLit>
              <c:formatCode>General</c:formatCode>
              <c:ptCount val="5"/>
              <c:pt idx="0">
                <c:v>398665.75</c:v>
              </c:pt>
              <c:pt idx="1">
                <c:v>405425.5</c:v>
              </c:pt>
              <c:pt idx="2">
                <c:v>334733.5</c:v>
              </c:pt>
              <c:pt idx="3">
                <c:v>252519.5</c:v>
              </c:pt>
              <c:pt idx="4">
                <c:v>272826.75</c:v>
              </c:pt>
            </c:numLit>
          </c:val>
          <c:extLst>
            <c:ext xmlns:c16="http://schemas.microsoft.com/office/drawing/2014/chart" uri="{C3380CC4-5D6E-409C-BE32-E72D297353CC}">
              <c16:uniqueId val="{00000001-45C7-4DD6-BE9E-FCE28FA569F7}"/>
            </c:ext>
          </c:extLst>
        </c:ser>
        <c:dLbls>
          <c:showLegendKey val="0"/>
          <c:showVal val="0"/>
          <c:showCatName val="0"/>
          <c:showSerName val="0"/>
          <c:showPercent val="0"/>
          <c:showBubbleSize val="0"/>
        </c:dLbls>
        <c:gapWidth val="182"/>
        <c:axId val="1922891423"/>
        <c:axId val="1922893503"/>
      </c:barChart>
      <c:catAx>
        <c:axId val="1922891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SalesPerson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22893503"/>
        <c:crosses val="autoZero"/>
        <c:auto val="1"/>
        <c:lblAlgn val="ctr"/>
        <c:lblOffset val="100"/>
        <c:noMultiLvlLbl val="0"/>
      </c:catAx>
      <c:valAx>
        <c:axId val="1922893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Sales &amp; Profit</a:t>
                </a:r>
                <a:endParaRPr lang="en-US" b="1"/>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2289142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chart>
  <c:spPr>
    <a:ln>
      <a:solidFill>
        <a:schemeClr val="accent1">
          <a:lumMod val="40000"/>
          <a:lumOff val="60000"/>
        </a:schemeClr>
      </a:solidFill>
    </a:ln>
  </c:spPr>
  <c:txPr>
    <a:bodyPr/>
    <a:lstStyle/>
    <a:p>
      <a:pPr>
        <a:defRPr/>
      </a:pPr>
      <a:endParaRPr lang="en-PK"/>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175758</xdr:rowOff>
    </xdr:from>
    <xdr:to>
      <xdr:col>3</xdr:col>
      <xdr:colOff>21166</xdr:colOff>
      <xdr:row>18</xdr:row>
      <xdr:rowOff>124730</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ACC4CB0A-AA8F-4364-89A9-45A59E13DD0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1627187"/>
              <a:ext cx="1844523" cy="176325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174625</xdr:rowOff>
    </xdr:from>
    <xdr:to>
      <xdr:col>3</xdr:col>
      <xdr:colOff>10583</xdr:colOff>
      <xdr:row>28</xdr:row>
      <xdr:rowOff>129948</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D6374CB0-426F-4B03-8484-2079F99528E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3440339"/>
              <a:ext cx="1833940" cy="176960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169333</xdr:rowOff>
    </xdr:from>
    <xdr:to>
      <xdr:col>2</xdr:col>
      <xdr:colOff>603250</xdr:colOff>
      <xdr:row>41</xdr:row>
      <xdr:rowOff>50270</xdr:rowOff>
    </xdr:to>
    <mc:AlternateContent xmlns:mc="http://schemas.openxmlformats.org/markup-compatibility/2006">
      <mc:Choice xmlns:a14="http://schemas.microsoft.com/office/drawing/2010/main" Requires="a14">
        <xdr:graphicFrame macro="">
          <xdr:nvGraphicFramePr>
            <xdr:cNvPr id="4" name="Salesperson 1">
              <a:extLst>
                <a:ext uri="{FF2B5EF4-FFF2-40B4-BE49-F238E27FC236}">
                  <a16:creationId xmlns:a16="http://schemas.microsoft.com/office/drawing/2014/main" id="{2AF7D7C2-A6B3-4886-BEBD-B915AC35920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0" y="5249333"/>
              <a:ext cx="1818821" cy="223950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137583</xdr:colOff>
      <xdr:row>6</xdr:row>
      <xdr:rowOff>4234</xdr:rowOff>
    </xdr:from>
    <xdr:to>
      <xdr:col>10</xdr:col>
      <xdr:colOff>161874</xdr:colOff>
      <xdr:row>18</xdr:row>
      <xdr:rowOff>145144</xdr:rowOff>
    </xdr:to>
    <xdr:graphicFrame macro="">
      <xdr:nvGraphicFramePr>
        <xdr:cNvPr id="5" name="Chart 4">
          <a:extLst>
            <a:ext uri="{FF2B5EF4-FFF2-40B4-BE49-F238E27FC236}">
              <a16:creationId xmlns:a16="http://schemas.microsoft.com/office/drawing/2014/main" id="{CB851CBD-2F19-4BA0-9117-C02906FEB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179917</xdr:colOff>
      <xdr:row>6</xdr:row>
      <xdr:rowOff>10584</xdr:rowOff>
    </xdr:from>
    <xdr:to>
      <xdr:col>17</xdr:col>
      <xdr:colOff>599721</xdr:colOff>
      <xdr:row>18</xdr:row>
      <xdr:rowOff>155123</xdr:rowOff>
    </xdr:to>
    <xdr:graphicFrame macro="">
      <xdr:nvGraphicFramePr>
        <xdr:cNvPr id="6" name="Chart 5">
          <a:extLst>
            <a:ext uri="{FF2B5EF4-FFF2-40B4-BE49-F238E27FC236}">
              <a16:creationId xmlns:a16="http://schemas.microsoft.com/office/drawing/2014/main" id="{F266A62E-1F5E-4181-B89F-D2BE99CE3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127000</xdr:colOff>
      <xdr:row>19</xdr:row>
      <xdr:rowOff>21167</xdr:rowOff>
    </xdr:from>
    <xdr:to>
      <xdr:col>17</xdr:col>
      <xdr:colOff>598613</xdr:colOff>
      <xdr:row>31</xdr:row>
      <xdr:rowOff>178406</xdr:rowOff>
    </xdr:to>
    <xdr:graphicFrame macro="">
      <xdr:nvGraphicFramePr>
        <xdr:cNvPr id="7" name="Chart 6">
          <a:extLst>
            <a:ext uri="{FF2B5EF4-FFF2-40B4-BE49-F238E27FC236}">
              <a16:creationId xmlns:a16="http://schemas.microsoft.com/office/drawing/2014/main" id="{1CC37D6B-5A58-4A78-B51B-0C5CC1883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108856</xdr:colOff>
      <xdr:row>32</xdr:row>
      <xdr:rowOff>24190</xdr:rowOff>
    </xdr:from>
    <xdr:to>
      <xdr:col>10</xdr:col>
      <xdr:colOff>165503</xdr:colOff>
      <xdr:row>46</xdr:row>
      <xdr:rowOff>94847</xdr:rowOff>
    </xdr:to>
    <xdr:graphicFrame macro="">
      <xdr:nvGraphicFramePr>
        <xdr:cNvPr id="8" name="Chart 7">
          <a:extLst>
            <a:ext uri="{FF2B5EF4-FFF2-40B4-BE49-F238E27FC236}">
              <a16:creationId xmlns:a16="http://schemas.microsoft.com/office/drawing/2014/main" id="{1D66990C-2048-4F1E-A875-7BC88EF1F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199573</xdr:colOff>
      <xdr:row>32</xdr:row>
      <xdr:rowOff>31749</xdr:rowOff>
    </xdr:from>
    <xdr:to>
      <xdr:col>18</xdr:col>
      <xdr:colOff>9073</xdr:colOff>
      <xdr:row>46</xdr:row>
      <xdr:rowOff>95250</xdr:rowOff>
    </xdr:to>
    <xdr:graphicFrame macro="">
      <xdr:nvGraphicFramePr>
        <xdr:cNvPr id="9" name="Chart 8">
          <a:extLst>
            <a:ext uri="{FF2B5EF4-FFF2-40B4-BE49-F238E27FC236}">
              <a16:creationId xmlns:a16="http://schemas.microsoft.com/office/drawing/2014/main" id="{E36730F7-780C-4A0C-8646-A8B76931D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215900</xdr:colOff>
      <xdr:row>7</xdr:row>
      <xdr:rowOff>107950</xdr:rowOff>
    </xdr:from>
    <xdr:to>
      <xdr:col>4</xdr:col>
      <xdr:colOff>920750</xdr:colOff>
      <xdr:row>17</xdr:row>
      <xdr:rowOff>76199</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E6E0DE4-589C-4317-92A5-6CEBA72D28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29178" y="1441450"/>
              <a:ext cx="1918405" cy="180269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1082221</xdr:colOff>
      <xdr:row>7</xdr:row>
      <xdr:rowOff>123371</xdr:rowOff>
    </xdr:from>
    <xdr:to>
      <xdr:col>6</xdr:col>
      <xdr:colOff>370114</xdr:colOff>
      <xdr:row>17</xdr:row>
      <xdr:rowOff>97970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12D67BEA-BA24-4AE3-86CF-E7463D72CD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93721" y="1438728"/>
              <a:ext cx="1836964" cy="178888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65617</xdr:colOff>
      <xdr:row>7</xdr:row>
      <xdr:rowOff>113595</xdr:rowOff>
    </xdr:from>
    <xdr:to>
      <xdr:col>8</xdr:col>
      <xdr:colOff>79224</xdr:colOff>
      <xdr:row>17</xdr:row>
      <xdr:rowOff>88194</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A6292D7F-DAD5-4C09-936D-57B59884966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5858228" y="1447095"/>
              <a:ext cx="1845028" cy="180904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482601</xdr:colOff>
      <xdr:row>19</xdr:row>
      <xdr:rowOff>12700</xdr:rowOff>
    </xdr:from>
    <xdr:to>
      <xdr:col>5</xdr:col>
      <xdr:colOff>463550</xdr:colOff>
      <xdr:row>31</xdr:row>
      <xdr:rowOff>177800</xdr:rowOff>
    </xdr:to>
    <xdr:graphicFrame macro="">
      <xdr:nvGraphicFramePr>
        <xdr:cNvPr id="5" name="Chart 4">
          <a:extLst>
            <a:ext uri="{FF2B5EF4-FFF2-40B4-BE49-F238E27FC236}">
              <a16:creationId xmlns:a16="http://schemas.microsoft.com/office/drawing/2014/main" id="{B226FFAF-CF22-43EC-AA55-68C3DE9D8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488950</xdr:colOff>
      <xdr:row>19</xdr:row>
      <xdr:rowOff>12700</xdr:rowOff>
    </xdr:from>
    <xdr:to>
      <xdr:col>11</xdr:col>
      <xdr:colOff>12700</xdr:colOff>
      <xdr:row>32</xdr:row>
      <xdr:rowOff>0</xdr:rowOff>
    </xdr:to>
    <xdr:graphicFrame macro="">
      <xdr:nvGraphicFramePr>
        <xdr:cNvPr id="6" name="Chart 5">
          <a:extLst>
            <a:ext uri="{FF2B5EF4-FFF2-40B4-BE49-F238E27FC236}">
              <a16:creationId xmlns:a16="http://schemas.microsoft.com/office/drawing/2014/main" id="{C3874757-B4D1-437A-8774-24B2D00FD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488950</xdr:colOff>
      <xdr:row>32</xdr:row>
      <xdr:rowOff>31750</xdr:rowOff>
    </xdr:from>
    <xdr:to>
      <xdr:col>11</xdr:col>
      <xdr:colOff>31750</xdr:colOff>
      <xdr:row>45</xdr:row>
      <xdr:rowOff>31751</xdr:rowOff>
    </xdr:to>
    <xdr:graphicFrame macro="">
      <xdr:nvGraphicFramePr>
        <xdr:cNvPr id="7" name="Chart 6">
          <a:extLst>
            <a:ext uri="{FF2B5EF4-FFF2-40B4-BE49-F238E27FC236}">
              <a16:creationId xmlns:a16="http://schemas.microsoft.com/office/drawing/2014/main" id="{B8B78245-E1C9-4E91-956A-F30611382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479577</xdr:colOff>
      <xdr:row>45</xdr:row>
      <xdr:rowOff>58261</xdr:rowOff>
    </xdr:from>
    <xdr:to>
      <xdr:col>5</xdr:col>
      <xdr:colOff>465666</xdr:colOff>
      <xdr:row>59</xdr:row>
      <xdr:rowOff>157139</xdr:rowOff>
    </xdr:to>
    <xdr:graphicFrame macro="">
      <xdr:nvGraphicFramePr>
        <xdr:cNvPr id="8" name="Chart 7">
          <a:extLst>
            <a:ext uri="{FF2B5EF4-FFF2-40B4-BE49-F238E27FC236}">
              <a16:creationId xmlns:a16="http://schemas.microsoft.com/office/drawing/2014/main" id="{B9E6C74E-053B-451F-B380-49B9AA97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500944</xdr:colOff>
      <xdr:row>45</xdr:row>
      <xdr:rowOff>56445</xdr:rowOff>
    </xdr:from>
    <xdr:to>
      <xdr:col>11</xdr:col>
      <xdr:colOff>28223</xdr:colOff>
      <xdr:row>59</xdr:row>
      <xdr:rowOff>148167</xdr:rowOff>
    </xdr:to>
    <xdr:graphicFrame macro="">
      <xdr:nvGraphicFramePr>
        <xdr:cNvPr id="9" name="Chart 8">
          <a:extLst>
            <a:ext uri="{FF2B5EF4-FFF2-40B4-BE49-F238E27FC236}">
              <a16:creationId xmlns:a16="http://schemas.microsoft.com/office/drawing/2014/main" id="{E565D46F-6DD3-4BEB-A182-C03110A3D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Qadeer" refreshedDate="46280.748951620371" createdVersion="7" refreshedVersion="7" minRefreshableVersion="3" recordCount="100" xr:uid="{7AB87303-D864-47C4-8CA7-24F9D66BB8A9}">
  <cacheSource type="worksheet">
    <worksheetSource name="SalesData"/>
  </cacheSource>
  <cacheFields count="15">
    <cacheField name="Order ID" numFmtId="0">
      <sharedItems/>
    </cacheField>
    <cacheField name="Order Date" numFmtId="14">
      <sharedItems containsSemiMixedTypes="0" containsNonDate="0" containsDate="1" containsString="0" minDate="2026-01-02T00:00:00" maxDate="2026-06-30T00:00:00" count="72">
        <d v="2026-06-18T00:00:00"/>
        <d v="2026-02-09T00:00:00"/>
        <d v="2026-03-27T00:00:00"/>
        <d v="2026-03-11T00:00:00"/>
        <d v="2026-02-14T00:00:00"/>
        <d v="2026-05-10T00:00:00"/>
        <d v="2026-06-13T00:00:00"/>
        <d v="2026-05-11T00:00:00"/>
        <d v="2026-03-13T00:00:00"/>
        <d v="2026-01-28T00:00:00"/>
        <d v="2026-06-11T00:00:00"/>
        <d v="2026-01-03T00:00:00"/>
        <d v="2026-06-04T00:00:00"/>
        <d v="2026-02-19T00:00:00"/>
        <d v="2026-06-01T00:00:00"/>
        <d v="2026-01-24T00:00:00"/>
        <d v="2026-06-03T00:00:00"/>
        <d v="2026-04-29T00:00:00"/>
        <d v="2026-01-29T00:00:00"/>
        <d v="2026-02-23T00:00:00"/>
        <d v="2026-03-21T00:00:00"/>
        <d v="2026-06-21T00:00:00"/>
        <d v="2026-01-19T00:00:00"/>
        <d v="2026-03-08T00:00:00"/>
        <d v="2026-05-23T00:00:00"/>
        <d v="2026-06-22T00:00:00"/>
        <d v="2026-04-28T00:00:00"/>
        <d v="2026-02-27T00:00:00"/>
        <d v="2026-01-30T00:00:00"/>
        <d v="2026-04-26T00:00:00"/>
        <d v="2026-05-25T00:00:00"/>
        <d v="2026-01-26T00:00:00"/>
        <d v="2026-05-30T00:00:00"/>
        <d v="2026-02-13T00:00:00"/>
        <d v="2026-04-10T00:00:00"/>
        <d v="2026-06-08T00:00:00"/>
        <d v="2026-02-16T00:00:00"/>
        <d v="2026-02-22T00:00:00"/>
        <d v="2026-01-22T00:00:00"/>
        <d v="2026-01-20T00:00:00"/>
        <d v="2026-04-30T00:00:00"/>
        <d v="2026-03-22T00:00:00"/>
        <d v="2026-06-06T00:00:00"/>
        <d v="2026-02-04T00:00:00"/>
        <d v="2026-06-20T00:00:00"/>
        <d v="2026-03-19T00:00:00"/>
        <d v="2026-06-29T00:00:00"/>
        <d v="2026-06-19T00:00:00"/>
        <d v="2026-04-07T00:00:00"/>
        <d v="2026-03-31T00:00:00"/>
        <d v="2026-05-26T00:00:00"/>
        <d v="2026-02-01T00:00:00"/>
        <d v="2026-06-16T00:00:00"/>
        <d v="2026-01-10T00:00:00"/>
        <d v="2026-01-02T00:00:00"/>
        <d v="2026-01-12T00:00:00"/>
        <d v="2026-03-25T00:00:00"/>
        <d v="2026-04-11T00:00:00"/>
        <d v="2026-05-17T00:00:00"/>
        <d v="2026-02-26T00:00:00"/>
        <d v="2026-03-16T00:00:00"/>
        <d v="2026-03-30T00:00:00"/>
        <d v="2026-05-08T00:00:00"/>
        <d v="2026-06-12T00:00:00"/>
        <d v="2026-02-12T00:00:00"/>
        <d v="2026-02-08T00:00:00"/>
        <d v="2026-03-28T00:00:00"/>
        <d v="2026-01-25T00:00:00"/>
        <d v="2026-04-20T00:00:00"/>
        <d v="2026-06-24T00:00:00"/>
        <d v="2026-04-16T00:00:00"/>
        <d v="2026-04-14T00:00:00"/>
      </sharedItems>
      <fieldGroup par="14" base="1">
        <rangePr groupBy="months" startDate="2026-01-02T00:00:00" endDate="2026-06-30T00:00:00"/>
        <groupItems count="14">
          <s v="&lt;02/01/2026"/>
          <s v="Jan"/>
          <s v="Feb"/>
          <s v="Mar"/>
          <s v="Apr"/>
          <s v="May"/>
          <s v="Jun"/>
          <s v="Jul"/>
          <s v="Aug"/>
          <s v="Sept"/>
          <s v="Oct"/>
          <s v="Nov"/>
          <s v="Dec"/>
          <s v="&gt;30/06/2026"/>
        </groupItems>
      </fieldGroup>
    </cacheField>
    <cacheField name="Customer Name" numFmtId="0">
      <sharedItems/>
    </cacheField>
    <cacheField name="Product" numFmtId="0">
      <sharedItems count="9">
        <s v="Desk"/>
        <s v="Office Chair"/>
        <s v="Keyboard"/>
        <s v="Watch"/>
        <s v="Bookshelf"/>
        <s v="Backpack"/>
        <s v="Smartphone"/>
        <s v="Laptop"/>
        <s v="Headphones"/>
      </sharedItems>
    </cacheField>
    <cacheField name="Category" numFmtId="0">
      <sharedItems count="3">
        <s v="Furniture"/>
        <s v="Accessories"/>
        <s v="Electronics"/>
      </sharedItems>
    </cacheField>
    <cacheField name="Region" numFmtId="0">
      <sharedItems count="4">
        <s v="West"/>
        <s v="North"/>
        <s v="East"/>
        <s v="South"/>
      </sharedItems>
    </cacheField>
    <cacheField name="Salesperson" numFmtId="0">
      <sharedItems count="5">
        <s v="Sara"/>
        <s v="Hina"/>
        <s v="Ahmed"/>
        <s v="Ali"/>
        <s v="Usman"/>
      </sharedItems>
    </cacheField>
    <cacheField name="Quantity" numFmtId="0">
      <sharedItems containsSemiMixedTypes="0" containsString="0" containsNumber="1" containsInteger="1" minValue="1" maxValue="7"/>
    </cacheField>
    <cacheField name="Unit Price" numFmtId="3">
      <sharedItems containsSemiMixedTypes="0" containsString="0" containsNumber="1" containsInteger="1" minValue="4500" maxValue="85000"/>
    </cacheField>
    <cacheField name="Sales" numFmtId="3">
      <sharedItems containsSemiMixedTypes="0" containsString="0" containsNumber="1" containsInteger="1" minValue="4275" maxValue="595000"/>
    </cacheField>
    <cacheField name="Discount" numFmtId="9">
      <sharedItems containsSemiMixedTypes="0" containsString="0" containsNumber="1" minValue="0" maxValue="0.15"/>
    </cacheField>
    <cacheField name="Profit" numFmtId="3">
      <sharedItems containsSemiMixedTypes="0" containsString="0" containsNumber="1" minValue="360" maxValue="91035"/>
    </cacheField>
    <cacheField name="Month" numFmtId="0">
      <sharedItems count="6">
        <s v="Jun"/>
        <s v="Feb"/>
        <s v="Mar"/>
        <s v="May"/>
        <s v="Jan"/>
        <s v="Apr"/>
      </sharedItems>
    </cacheField>
    <cacheField name="Month sort" numFmtId="0">
      <sharedItems/>
    </cacheField>
    <cacheField name="Years" numFmtId="0" databaseField="0">
      <fieldGroup base="1">
        <rangePr groupBy="years" startDate="2026-01-02T00:00:00" endDate="2026-06-30T00:00:00"/>
        <groupItems count="3">
          <s v="&lt;02/01/2026"/>
          <s v="2026"/>
          <s v="&gt;30/06/2026"/>
        </groupItems>
      </fieldGroup>
    </cacheField>
  </cacheFields>
  <extLst>
    <ext xmlns:x14="http://schemas.microsoft.com/office/spreadsheetml/2009/9/main" uri="{725AE2AE-9491-48be-B2B4-4EB974FC3084}">
      <x14:pivotCacheDefinition pivotCacheId="1224236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s v="Maham"/>
    <x v="0"/>
    <x v="0"/>
    <x v="0"/>
    <x v="0"/>
    <n v="4"/>
    <n v="30000"/>
    <n v="120000"/>
    <n v="0"/>
    <n v="9600"/>
    <x v="0"/>
    <s v="2026-06"/>
  </r>
  <r>
    <s v="ORD-0002"/>
    <x v="1"/>
    <s v="Iqra"/>
    <x v="1"/>
    <x v="0"/>
    <x v="1"/>
    <x v="1"/>
    <n v="6"/>
    <n v="22000"/>
    <n v="125400"/>
    <n v="0.05"/>
    <n v="12540"/>
    <x v="1"/>
    <s v="2026-02"/>
  </r>
  <r>
    <s v="ORD-0003"/>
    <x v="2"/>
    <s v="Omar"/>
    <x v="1"/>
    <x v="0"/>
    <x v="2"/>
    <x v="2"/>
    <n v="3"/>
    <n v="22000"/>
    <n v="62700"/>
    <n v="0.05"/>
    <n v="12540"/>
    <x v="2"/>
    <s v="2026-03"/>
  </r>
  <r>
    <s v="ORD-0004"/>
    <x v="3"/>
    <s v="Fatima"/>
    <x v="2"/>
    <x v="1"/>
    <x v="2"/>
    <x v="3"/>
    <n v="2"/>
    <n v="4500"/>
    <n v="8550"/>
    <n v="0.05"/>
    <n v="1881"/>
    <x v="2"/>
    <s v="2026-03"/>
  </r>
  <r>
    <s v="ORD-0005"/>
    <x v="4"/>
    <s v="Fatima"/>
    <x v="2"/>
    <x v="1"/>
    <x v="0"/>
    <x v="2"/>
    <n v="4"/>
    <n v="4500"/>
    <n v="16200"/>
    <n v="0.1"/>
    <n v="2592"/>
    <x v="1"/>
    <s v="2026-02"/>
  </r>
  <r>
    <s v="ORD-0006"/>
    <x v="5"/>
    <s v="Hamza"/>
    <x v="3"/>
    <x v="1"/>
    <x v="0"/>
    <x v="0"/>
    <n v="3"/>
    <n v="12000"/>
    <n v="36000"/>
    <n v="0"/>
    <n v="5040"/>
    <x v="3"/>
    <s v="2026-05"/>
  </r>
  <r>
    <s v="ORD-0007"/>
    <x v="6"/>
    <s v="Bilal"/>
    <x v="4"/>
    <x v="0"/>
    <x v="0"/>
    <x v="3"/>
    <n v="3"/>
    <n v="18000"/>
    <n v="45900"/>
    <n v="0.15"/>
    <n v="4131"/>
    <x v="0"/>
    <s v="2026-06"/>
  </r>
  <r>
    <s v="ORD-0008"/>
    <x v="7"/>
    <s v="Fatima"/>
    <x v="5"/>
    <x v="1"/>
    <x v="1"/>
    <x v="3"/>
    <n v="3"/>
    <n v="6500"/>
    <n v="17550"/>
    <n v="0.1"/>
    <n v="2457"/>
    <x v="3"/>
    <s v="2026-05"/>
  </r>
  <r>
    <s v="ORD-0009"/>
    <x v="8"/>
    <s v="Iqra"/>
    <x v="5"/>
    <x v="1"/>
    <x v="2"/>
    <x v="3"/>
    <n v="5"/>
    <n v="6500"/>
    <n v="27625"/>
    <n v="0.15"/>
    <n v="5248.75"/>
    <x v="2"/>
    <s v="2026-03"/>
  </r>
  <r>
    <s v="ORD-0010"/>
    <x v="9"/>
    <s v="Zain"/>
    <x v="2"/>
    <x v="1"/>
    <x v="1"/>
    <x v="1"/>
    <n v="3"/>
    <n v="4500"/>
    <n v="11475"/>
    <n v="0.15"/>
    <n v="2868.75"/>
    <x v="4"/>
    <s v="2026-01"/>
  </r>
  <r>
    <s v="ORD-0011"/>
    <x v="10"/>
    <s v="Iqra"/>
    <x v="6"/>
    <x v="2"/>
    <x v="3"/>
    <x v="4"/>
    <n v="1"/>
    <n v="55000"/>
    <n v="52250"/>
    <n v="0.05"/>
    <n v="9927.5"/>
    <x v="0"/>
    <s v="2026-06"/>
  </r>
  <r>
    <s v="ORD-0012"/>
    <x v="0"/>
    <s v="Ayesha"/>
    <x v="7"/>
    <x v="2"/>
    <x v="2"/>
    <x v="1"/>
    <n v="7"/>
    <n v="85000"/>
    <n v="535500"/>
    <n v="0.1"/>
    <n v="42840"/>
    <x v="0"/>
    <s v="2026-06"/>
  </r>
  <r>
    <s v="ORD-0013"/>
    <x v="11"/>
    <s v="Ayesha"/>
    <x v="3"/>
    <x v="1"/>
    <x v="3"/>
    <x v="1"/>
    <n v="7"/>
    <n v="12000"/>
    <n v="75600"/>
    <n v="0.1"/>
    <n v="18900"/>
    <x v="4"/>
    <s v="2026-01"/>
  </r>
  <r>
    <s v="ORD-0014"/>
    <x v="12"/>
    <s v="Bilal"/>
    <x v="0"/>
    <x v="0"/>
    <x v="2"/>
    <x v="2"/>
    <n v="6"/>
    <n v="30000"/>
    <n v="180000"/>
    <n v="0"/>
    <n v="32400"/>
    <x v="0"/>
    <s v="2026-06"/>
  </r>
  <r>
    <s v="ORD-0015"/>
    <x v="13"/>
    <s v="Omar"/>
    <x v="0"/>
    <x v="0"/>
    <x v="0"/>
    <x v="0"/>
    <n v="1"/>
    <n v="30000"/>
    <n v="27000"/>
    <n v="0.1"/>
    <n v="6210"/>
    <x v="1"/>
    <s v="2026-02"/>
  </r>
  <r>
    <s v="ORD-0016"/>
    <x v="14"/>
    <s v="Hamza"/>
    <x v="4"/>
    <x v="0"/>
    <x v="1"/>
    <x v="0"/>
    <n v="6"/>
    <n v="18000"/>
    <n v="102600"/>
    <n v="0.05"/>
    <n v="25650"/>
    <x v="0"/>
    <s v="2026-06"/>
  </r>
  <r>
    <s v="ORD-0017"/>
    <x v="15"/>
    <s v="Hamza"/>
    <x v="1"/>
    <x v="0"/>
    <x v="2"/>
    <x v="0"/>
    <n v="7"/>
    <n v="22000"/>
    <n v="146300"/>
    <n v="0.05"/>
    <n v="16093"/>
    <x v="4"/>
    <s v="2026-01"/>
  </r>
  <r>
    <s v="ORD-0018"/>
    <x v="16"/>
    <s v="Noor"/>
    <x v="8"/>
    <x v="2"/>
    <x v="0"/>
    <x v="4"/>
    <n v="5"/>
    <n v="8500"/>
    <n v="42500"/>
    <n v="0"/>
    <n v="3400"/>
    <x v="0"/>
    <s v="2026-06"/>
  </r>
  <r>
    <s v="ORD-0019"/>
    <x v="17"/>
    <s v="Omar"/>
    <x v="6"/>
    <x v="2"/>
    <x v="0"/>
    <x v="1"/>
    <n v="3"/>
    <n v="55000"/>
    <n v="140250"/>
    <n v="0.15"/>
    <n v="14025"/>
    <x v="5"/>
    <s v="2026-04"/>
  </r>
  <r>
    <s v="ORD-0020"/>
    <x v="18"/>
    <s v="Daniyal"/>
    <x v="8"/>
    <x v="2"/>
    <x v="1"/>
    <x v="3"/>
    <n v="5"/>
    <n v="8500"/>
    <n v="40375"/>
    <n v="0.05"/>
    <n v="9286.25"/>
    <x v="4"/>
    <s v="2026-01"/>
  </r>
  <r>
    <s v="ORD-0021"/>
    <x v="19"/>
    <s v="Hamza"/>
    <x v="6"/>
    <x v="2"/>
    <x v="1"/>
    <x v="3"/>
    <n v="4"/>
    <n v="55000"/>
    <n v="187000"/>
    <n v="0.15"/>
    <n v="44880"/>
    <x v="1"/>
    <s v="2026-02"/>
  </r>
  <r>
    <s v="ORD-0022"/>
    <x v="20"/>
    <s v="Zain"/>
    <x v="7"/>
    <x v="2"/>
    <x v="3"/>
    <x v="0"/>
    <n v="4"/>
    <n v="85000"/>
    <n v="323000"/>
    <n v="0.05"/>
    <n v="48450"/>
    <x v="2"/>
    <s v="2026-03"/>
  </r>
  <r>
    <s v="ORD-0023"/>
    <x v="21"/>
    <s v="Bilal"/>
    <x v="6"/>
    <x v="2"/>
    <x v="0"/>
    <x v="1"/>
    <n v="6"/>
    <n v="55000"/>
    <n v="297000"/>
    <n v="0.1"/>
    <n v="71280"/>
    <x v="0"/>
    <s v="2026-06"/>
  </r>
  <r>
    <s v="ORD-0024"/>
    <x v="22"/>
    <s v="Fatima"/>
    <x v="4"/>
    <x v="0"/>
    <x v="0"/>
    <x v="3"/>
    <n v="7"/>
    <n v="18000"/>
    <n v="126000"/>
    <n v="0"/>
    <n v="27720"/>
    <x v="4"/>
    <s v="2026-01"/>
  </r>
  <r>
    <s v="ORD-0025"/>
    <x v="23"/>
    <s v="Zain"/>
    <x v="3"/>
    <x v="1"/>
    <x v="2"/>
    <x v="4"/>
    <n v="3"/>
    <n v="12000"/>
    <n v="30600"/>
    <n v="0.15"/>
    <n v="7650"/>
    <x v="2"/>
    <s v="2026-03"/>
  </r>
  <r>
    <s v="ORD-0026"/>
    <x v="24"/>
    <s v="Ayesha"/>
    <x v="2"/>
    <x v="1"/>
    <x v="1"/>
    <x v="2"/>
    <n v="5"/>
    <n v="4500"/>
    <n v="19125"/>
    <n v="0.15"/>
    <n v="2295"/>
    <x v="3"/>
    <s v="2026-05"/>
  </r>
  <r>
    <s v="ORD-0027"/>
    <x v="15"/>
    <s v="Iqra"/>
    <x v="7"/>
    <x v="2"/>
    <x v="1"/>
    <x v="2"/>
    <n v="3"/>
    <n v="85000"/>
    <n v="242250"/>
    <n v="0.05"/>
    <n v="33915"/>
    <x v="4"/>
    <s v="2026-01"/>
  </r>
  <r>
    <s v="ORD-0028"/>
    <x v="25"/>
    <s v="Iqra"/>
    <x v="3"/>
    <x v="1"/>
    <x v="2"/>
    <x v="1"/>
    <n v="1"/>
    <n v="12000"/>
    <n v="10200"/>
    <n v="0.15"/>
    <n v="2346"/>
    <x v="0"/>
    <s v="2026-06"/>
  </r>
  <r>
    <s v="ORD-0029"/>
    <x v="26"/>
    <s v="Daniyal"/>
    <x v="4"/>
    <x v="0"/>
    <x v="0"/>
    <x v="1"/>
    <n v="4"/>
    <n v="18000"/>
    <n v="68400"/>
    <n v="0.05"/>
    <n v="14364"/>
    <x v="5"/>
    <s v="2026-04"/>
  </r>
  <r>
    <s v="ORD-0030"/>
    <x v="1"/>
    <s v="Fatima"/>
    <x v="1"/>
    <x v="0"/>
    <x v="2"/>
    <x v="3"/>
    <n v="7"/>
    <n v="22000"/>
    <n v="154000"/>
    <n v="0"/>
    <n v="35420"/>
    <x v="1"/>
    <s v="2026-02"/>
  </r>
  <r>
    <s v="ORD-0031"/>
    <x v="27"/>
    <s v="Fatima"/>
    <x v="1"/>
    <x v="0"/>
    <x v="0"/>
    <x v="3"/>
    <n v="7"/>
    <n v="22000"/>
    <n v="146300"/>
    <n v="0.05"/>
    <n v="19019"/>
    <x v="1"/>
    <s v="2026-02"/>
  </r>
  <r>
    <s v="ORD-0032"/>
    <x v="28"/>
    <s v="Maham"/>
    <x v="0"/>
    <x v="0"/>
    <x v="1"/>
    <x v="2"/>
    <n v="3"/>
    <n v="30000"/>
    <n v="81000"/>
    <n v="0.1"/>
    <n v="12960"/>
    <x v="4"/>
    <s v="2026-01"/>
  </r>
  <r>
    <s v="ORD-0033"/>
    <x v="3"/>
    <s v="Noor"/>
    <x v="4"/>
    <x v="0"/>
    <x v="2"/>
    <x v="0"/>
    <n v="6"/>
    <n v="18000"/>
    <n v="108000"/>
    <n v="0"/>
    <n v="19440"/>
    <x v="2"/>
    <s v="2026-03"/>
  </r>
  <r>
    <s v="ORD-0034"/>
    <x v="29"/>
    <s v="Ayesha"/>
    <x v="2"/>
    <x v="1"/>
    <x v="0"/>
    <x v="2"/>
    <n v="7"/>
    <n v="4500"/>
    <n v="28350"/>
    <n v="0.1"/>
    <n v="4819.5"/>
    <x v="5"/>
    <s v="2026-04"/>
  </r>
  <r>
    <s v="ORD-0035"/>
    <x v="25"/>
    <s v="Omar"/>
    <x v="2"/>
    <x v="1"/>
    <x v="3"/>
    <x v="2"/>
    <n v="5"/>
    <n v="4500"/>
    <n v="21375"/>
    <n v="0.05"/>
    <n v="2137.5"/>
    <x v="0"/>
    <s v="2026-06"/>
  </r>
  <r>
    <s v="ORD-0036"/>
    <x v="30"/>
    <s v="Fatima"/>
    <x v="1"/>
    <x v="0"/>
    <x v="3"/>
    <x v="3"/>
    <n v="5"/>
    <n v="22000"/>
    <n v="99000"/>
    <n v="0.1"/>
    <n v="24750"/>
    <x v="3"/>
    <s v="2026-05"/>
  </r>
  <r>
    <s v="ORD-0037"/>
    <x v="31"/>
    <s v="Maham"/>
    <x v="0"/>
    <x v="0"/>
    <x v="2"/>
    <x v="1"/>
    <n v="3"/>
    <n v="30000"/>
    <n v="76500"/>
    <n v="0.15"/>
    <n v="19125"/>
    <x v="4"/>
    <s v="2026-01"/>
  </r>
  <r>
    <s v="ORD-0038"/>
    <x v="32"/>
    <s v="Noor"/>
    <x v="3"/>
    <x v="1"/>
    <x v="1"/>
    <x v="2"/>
    <n v="2"/>
    <n v="12000"/>
    <n v="24000"/>
    <n v="0"/>
    <n v="3360"/>
    <x v="3"/>
    <s v="2026-05"/>
  </r>
  <r>
    <s v="ORD-0039"/>
    <x v="13"/>
    <s v="Daniyal"/>
    <x v="2"/>
    <x v="1"/>
    <x v="1"/>
    <x v="1"/>
    <n v="6"/>
    <n v="4500"/>
    <n v="24300"/>
    <n v="0.1"/>
    <n v="6075"/>
    <x v="1"/>
    <s v="2026-02"/>
  </r>
  <r>
    <s v="ORD-0040"/>
    <x v="33"/>
    <s v="Zain"/>
    <x v="7"/>
    <x v="2"/>
    <x v="3"/>
    <x v="4"/>
    <n v="6"/>
    <n v="85000"/>
    <n v="510000"/>
    <n v="0"/>
    <n v="86700"/>
    <x v="1"/>
    <s v="2026-02"/>
  </r>
  <r>
    <s v="ORD-0041"/>
    <x v="34"/>
    <s v="Maham"/>
    <x v="8"/>
    <x v="2"/>
    <x v="2"/>
    <x v="0"/>
    <n v="4"/>
    <n v="8500"/>
    <n v="32300"/>
    <n v="0.05"/>
    <n v="7429"/>
    <x v="5"/>
    <s v="2026-04"/>
  </r>
  <r>
    <s v="ORD-0042"/>
    <x v="35"/>
    <s v="Zain"/>
    <x v="8"/>
    <x v="2"/>
    <x v="3"/>
    <x v="3"/>
    <n v="5"/>
    <n v="8500"/>
    <n v="40375"/>
    <n v="0.05"/>
    <n v="4441.25"/>
    <x v="0"/>
    <s v="2026-06"/>
  </r>
  <r>
    <s v="ORD-0043"/>
    <x v="11"/>
    <s v="Bilal"/>
    <x v="4"/>
    <x v="0"/>
    <x v="0"/>
    <x v="4"/>
    <n v="4"/>
    <n v="18000"/>
    <n v="72000"/>
    <n v="0"/>
    <n v="9360"/>
    <x v="4"/>
    <s v="2026-01"/>
  </r>
  <r>
    <s v="ORD-0044"/>
    <x v="36"/>
    <s v="Zain"/>
    <x v="1"/>
    <x v="0"/>
    <x v="1"/>
    <x v="3"/>
    <n v="5"/>
    <n v="22000"/>
    <n v="104500"/>
    <n v="0.05"/>
    <n v="26125"/>
    <x v="1"/>
    <s v="2026-02"/>
  </r>
  <r>
    <s v="ORD-0045"/>
    <x v="32"/>
    <s v="Daniyal"/>
    <x v="6"/>
    <x v="2"/>
    <x v="2"/>
    <x v="3"/>
    <n v="1"/>
    <n v="55000"/>
    <n v="46750"/>
    <n v="0.15"/>
    <n v="4675"/>
    <x v="3"/>
    <s v="2026-05"/>
  </r>
  <r>
    <s v="ORD-0046"/>
    <x v="37"/>
    <s v="Maham"/>
    <x v="3"/>
    <x v="1"/>
    <x v="3"/>
    <x v="3"/>
    <n v="3"/>
    <n v="12000"/>
    <n v="32400"/>
    <n v="0.1"/>
    <n v="5184"/>
    <x v="1"/>
    <s v="2026-02"/>
  </r>
  <r>
    <s v="ORD-0047"/>
    <x v="38"/>
    <s v="Bilal"/>
    <x v="6"/>
    <x v="2"/>
    <x v="2"/>
    <x v="2"/>
    <n v="7"/>
    <n v="55000"/>
    <n v="327250"/>
    <n v="0.15"/>
    <n v="65450"/>
    <x v="4"/>
    <s v="2026-01"/>
  </r>
  <r>
    <s v="ORD-0048"/>
    <x v="39"/>
    <s v="Maham"/>
    <x v="7"/>
    <x v="2"/>
    <x v="1"/>
    <x v="0"/>
    <n v="2"/>
    <n v="85000"/>
    <n v="153000"/>
    <n v="0.1"/>
    <n v="30600"/>
    <x v="4"/>
    <s v="2026-01"/>
  </r>
  <r>
    <s v="ORD-0049"/>
    <x v="40"/>
    <s v="Hamza"/>
    <x v="3"/>
    <x v="1"/>
    <x v="3"/>
    <x v="1"/>
    <n v="6"/>
    <n v="12000"/>
    <n v="61200"/>
    <n v="0.15"/>
    <n v="8568"/>
    <x v="5"/>
    <s v="2026-04"/>
  </r>
  <r>
    <s v="ORD-0050"/>
    <x v="41"/>
    <s v="Noor"/>
    <x v="6"/>
    <x v="2"/>
    <x v="2"/>
    <x v="0"/>
    <n v="5"/>
    <n v="55000"/>
    <n v="275000"/>
    <n v="0"/>
    <n v="44000"/>
    <x v="2"/>
    <s v="2026-03"/>
  </r>
  <r>
    <s v="ORD-0051"/>
    <x v="42"/>
    <s v="Ayesha"/>
    <x v="0"/>
    <x v="0"/>
    <x v="2"/>
    <x v="2"/>
    <n v="7"/>
    <n v="30000"/>
    <n v="178500"/>
    <n v="0.15"/>
    <n v="26775"/>
    <x v="0"/>
    <s v="2026-06"/>
  </r>
  <r>
    <s v="ORD-0052"/>
    <x v="43"/>
    <s v="Bilal"/>
    <x v="4"/>
    <x v="0"/>
    <x v="2"/>
    <x v="4"/>
    <n v="7"/>
    <n v="18000"/>
    <n v="113400"/>
    <n v="0.1"/>
    <n v="24948"/>
    <x v="1"/>
    <s v="2026-02"/>
  </r>
  <r>
    <s v="ORD-0053"/>
    <x v="44"/>
    <s v="Omar"/>
    <x v="8"/>
    <x v="2"/>
    <x v="0"/>
    <x v="4"/>
    <n v="3"/>
    <n v="8500"/>
    <n v="25500"/>
    <n v="0"/>
    <n v="5865"/>
    <x v="0"/>
    <s v="2026-06"/>
  </r>
  <r>
    <s v="ORD-0054"/>
    <x v="45"/>
    <s v="Fatima"/>
    <x v="0"/>
    <x v="0"/>
    <x v="0"/>
    <x v="4"/>
    <n v="7"/>
    <n v="30000"/>
    <n v="210000"/>
    <n v="0"/>
    <n v="29400"/>
    <x v="2"/>
    <s v="2026-03"/>
  </r>
  <r>
    <s v="ORD-0055"/>
    <x v="46"/>
    <s v="Daniyal"/>
    <x v="7"/>
    <x v="2"/>
    <x v="1"/>
    <x v="3"/>
    <n v="3"/>
    <n v="85000"/>
    <n v="229500"/>
    <n v="0.1"/>
    <n v="27540"/>
    <x v="0"/>
    <s v="2026-06"/>
  </r>
  <r>
    <s v="ORD-0056"/>
    <x v="47"/>
    <s v="Iqra"/>
    <x v="0"/>
    <x v="0"/>
    <x v="1"/>
    <x v="4"/>
    <n v="6"/>
    <n v="30000"/>
    <n v="171000"/>
    <n v="0.05"/>
    <n v="30780"/>
    <x v="0"/>
    <s v="2026-06"/>
  </r>
  <r>
    <s v="ORD-0057"/>
    <x v="48"/>
    <s v="Daniyal"/>
    <x v="2"/>
    <x v="1"/>
    <x v="2"/>
    <x v="4"/>
    <n v="1"/>
    <n v="4500"/>
    <n v="4275"/>
    <n v="0.05"/>
    <n v="812.25"/>
    <x v="5"/>
    <s v="2026-04"/>
  </r>
  <r>
    <s v="ORD-0058"/>
    <x v="49"/>
    <s v="Daniyal"/>
    <x v="0"/>
    <x v="0"/>
    <x v="2"/>
    <x v="1"/>
    <n v="2"/>
    <n v="30000"/>
    <n v="60000"/>
    <n v="0"/>
    <n v="6600"/>
    <x v="2"/>
    <s v="2026-03"/>
  </r>
  <r>
    <s v="ORD-0059"/>
    <x v="50"/>
    <s v="Fatima"/>
    <x v="5"/>
    <x v="1"/>
    <x v="1"/>
    <x v="0"/>
    <n v="1"/>
    <n v="6500"/>
    <n v="5525"/>
    <n v="0.15"/>
    <n v="994.5"/>
    <x v="3"/>
    <s v="2026-05"/>
  </r>
  <r>
    <s v="ORD-0060"/>
    <x v="51"/>
    <s v="Iqra"/>
    <x v="3"/>
    <x v="1"/>
    <x v="2"/>
    <x v="4"/>
    <n v="7"/>
    <n v="12000"/>
    <n v="71400"/>
    <n v="0.15"/>
    <n v="9996"/>
    <x v="1"/>
    <s v="2026-02"/>
  </r>
  <r>
    <s v="ORD-0061"/>
    <x v="0"/>
    <s v="Daniyal"/>
    <x v="8"/>
    <x v="2"/>
    <x v="1"/>
    <x v="3"/>
    <n v="3"/>
    <n v="8500"/>
    <n v="22950"/>
    <n v="0.1"/>
    <n v="2754"/>
    <x v="0"/>
    <s v="2026-06"/>
  </r>
  <r>
    <s v="ORD-0062"/>
    <x v="52"/>
    <s v="Bilal"/>
    <x v="1"/>
    <x v="0"/>
    <x v="0"/>
    <x v="2"/>
    <n v="2"/>
    <n v="22000"/>
    <n v="39600"/>
    <n v="0.1"/>
    <n v="4356"/>
    <x v="0"/>
    <s v="2026-06"/>
  </r>
  <r>
    <s v="ORD-0063"/>
    <x v="53"/>
    <s v="Daniyal"/>
    <x v="3"/>
    <x v="1"/>
    <x v="0"/>
    <x v="3"/>
    <n v="4"/>
    <n v="12000"/>
    <n v="48000"/>
    <n v="0"/>
    <n v="4800"/>
    <x v="4"/>
    <s v="2026-01"/>
  </r>
  <r>
    <s v="ORD-0064"/>
    <x v="54"/>
    <s v="Maham"/>
    <x v="2"/>
    <x v="1"/>
    <x v="1"/>
    <x v="3"/>
    <n v="4"/>
    <n v="4500"/>
    <n v="17100"/>
    <n v="0.05"/>
    <n v="3933"/>
    <x v="4"/>
    <s v="2026-01"/>
  </r>
  <r>
    <s v="ORD-0065"/>
    <x v="30"/>
    <s v="Ayesha"/>
    <x v="7"/>
    <x v="2"/>
    <x v="1"/>
    <x v="0"/>
    <n v="6"/>
    <n v="85000"/>
    <n v="433500"/>
    <n v="0.15"/>
    <n v="91035"/>
    <x v="3"/>
    <s v="2026-05"/>
  </r>
  <r>
    <s v="ORD-0066"/>
    <x v="18"/>
    <s v="Hamza"/>
    <x v="1"/>
    <x v="0"/>
    <x v="2"/>
    <x v="0"/>
    <n v="2"/>
    <n v="22000"/>
    <n v="37400"/>
    <n v="0.15"/>
    <n v="5610"/>
    <x v="4"/>
    <s v="2026-01"/>
  </r>
  <r>
    <s v="ORD-0067"/>
    <x v="55"/>
    <s v="Daniyal"/>
    <x v="1"/>
    <x v="0"/>
    <x v="1"/>
    <x v="2"/>
    <n v="3"/>
    <n v="22000"/>
    <n v="59400"/>
    <n v="0.1"/>
    <n v="13068"/>
    <x v="4"/>
    <s v="2026-01"/>
  </r>
  <r>
    <s v="ORD-0068"/>
    <x v="56"/>
    <s v="Maham"/>
    <x v="5"/>
    <x v="1"/>
    <x v="3"/>
    <x v="1"/>
    <n v="1"/>
    <n v="6500"/>
    <n v="6500"/>
    <n v="0"/>
    <n v="715"/>
    <x v="2"/>
    <s v="2026-03"/>
  </r>
  <r>
    <s v="ORD-0069"/>
    <x v="38"/>
    <s v="Omar"/>
    <x v="4"/>
    <x v="0"/>
    <x v="2"/>
    <x v="3"/>
    <n v="6"/>
    <n v="18000"/>
    <n v="108000"/>
    <n v="0"/>
    <n v="21600"/>
    <x v="4"/>
    <s v="2026-01"/>
  </r>
  <r>
    <s v="ORD-0070"/>
    <x v="36"/>
    <s v="Noor"/>
    <x v="4"/>
    <x v="0"/>
    <x v="1"/>
    <x v="3"/>
    <n v="7"/>
    <n v="18000"/>
    <n v="119700"/>
    <n v="0.05"/>
    <n v="29925"/>
    <x v="1"/>
    <s v="2026-02"/>
  </r>
  <r>
    <s v="ORD-0071"/>
    <x v="57"/>
    <s v="Ayesha"/>
    <x v="1"/>
    <x v="0"/>
    <x v="1"/>
    <x v="0"/>
    <n v="7"/>
    <n v="22000"/>
    <n v="130900"/>
    <n v="0.15"/>
    <n v="15708"/>
    <x v="5"/>
    <s v="2026-04"/>
  </r>
  <r>
    <s v="ORD-0072"/>
    <x v="38"/>
    <s v="Omar"/>
    <x v="7"/>
    <x v="2"/>
    <x v="1"/>
    <x v="2"/>
    <n v="2"/>
    <n v="85000"/>
    <n v="170000"/>
    <n v="0"/>
    <n v="42500"/>
    <x v="4"/>
    <s v="2026-01"/>
  </r>
  <r>
    <s v="ORD-0073"/>
    <x v="29"/>
    <s v="Ayesha"/>
    <x v="4"/>
    <x v="0"/>
    <x v="3"/>
    <x v="2"/>
    <n v="7"/>
    <n v="18000"/>
    <n v="113400"/>
    <n v="0.1"/>
    <n v="11340"/>
    <x v="5"/>
    <s v="2026-04"/>
  </r>
  <r>
    <s v="ORD-0074"/>
    <x v="33"/>
    <s v="Zain"/>
    <x v="8"/>
    <x v="2"/>
    <x v="0"/>
    <x v="2"/>
    <n v="1"/>
    <n v="8500"/>
    <n v="7650"/>
    <n v="0.1"/>
    <n v="1606.5"/>
    <x v="1"/>
    <s v="2026-02"/>
  </r>
  <r>
    <s v="ORD-0075"/>
    <x v="58"/>
    <s v="Zain"/>
    <x v="8"/>
    <x v="2"/>
    <x v="1"/>
    <x v="2"/>
    <n v="3"/>
    <n v="8500"/>
    <n v="24225"/>
    <n v="0.05"/>
    <n v="4360.5"/>
    <x v="3"/>
    <s v="2026-05"/>
  </r>
  <r>
    <s v="ORD-0076"/>
    <x v="59"/>
    <s v="Hamza"/>
    <x v="5"/>
    <x v="1"/>
    <x v="2"/>
    <x v="1"/>
    <n v="4"/>
    <n v="6500"/>
    <n v="22100"/>
    <n v="0.15"/>
    <n v="4420"/>
    <x v="1"/>
    <s v="2026-02"/>
  </r>
  <r>
    <s v="ORD-0077"/>
    <x v="60"/>
    <s v="Omar"/>
    <x v="7"/>
    <x v="2"/>
    <x v="2"/>
    <x v="2"/>
    <n v="7"/>
    <n v="85000"/>
    <n v="595000"/>
    <n v="0"/>
    <n v="71400"/>
    <x v="2"/>
    <s v="2026-03"/>
  </r>
  <r>
    <s v="ORD-0078"/>
    <x v="61"/>
    <s v="Hamza"/>
    <x v="2"/>
    <x v="1"/>
    <x v="1"/>
    <x v="4"/>
    <n v="1"/>
    <n v="4500"/>
    <n v="4500"/>
    <n v="0"/>
    <n v="360"/>
    <x v="2"/>
    <s v="2026-03"/>
  </r>
  <r>
    <s v="ORD-0079"/>
    <x v="62"/>
    <s v="Iqra"/>
    <x v="5"/>
    <x v="1"/>
    <x v="0"/>
    <x v="3"/>
    <n v="7"/>
    <n v="6500"/>
    <n v="38675"/>
    <n v="0.15"/>
    <n v="7348.25"/>
    <x v="3"/>
    <s v="2026-05"/>
  </r>
  <r>
    <s v="ORD-0080"/>
    <x v="52"/>
    <s v="Hamza"/>
    <x v="2"/>
    <x v="1"/>
    <x v="3"/>
    <x v="1"/>
    <n v="4"/>
    <n v="4500"/>
    <n v="16200"/>
    <n v="0.1"/>
    <n v="3564"/>
    <x v="0"/>
    <s v="2026-06"/>
  </r>
  <r>
    <s v="ORD-0081"/>
    <x v="14"/>
    <s v="Iqra"/>
    <x v="0"/>
    <x v="0"/>
    <x v="3"/>
    <x v="1"/>
    <n v="6"/>
    <n v="30000"/>
    <n v="153000"/>
    <n v="0.15"/>
    <n v="21420"/>
    <x v="0"/>
    <s v="2026-06"/>
  </r>
  <r>
    <s v="ORD-0082"/>
    <x v="63"/>
    <s v="Hamza"/>
    <x v="5"/>
    <x v="1"/>
    <x v="0"/>
    <x v="3"/>
    <n v="5"/>
    <n v="6500"/>
    <n v="27625"/>
    <n v="0.15"/>
    <n v="6630"/>
    <x v="0"/>
    <s v="2026-06"/>
  </r>
  <r>
    <s v="ORD-0083"/>
    <x v="24"/>
    <s v="Hamza"/>
    <x v="2"/>
    <x v="1"/>
    <x v="1"/>
    <x v="2"/>
    <n v="3"/>
    <n v="4500"/>
    <n v="12150"/>
    <n v="0.1"/>
    <n v="1336.5"/>
    <x v="3"/>
    <s v="2026-05"/>
  </r>
  <r>
    <s v="ORD-0084"/>
    <x v="64"/>
    <s v="Noor"/>
    <x v="4"/>
    <x v="0"/>
    <x v="1"/>
    <x v="2"/>
    <n v="2"/>
    <n v="18000"/>
    <n v="30600"/>
    <n v="0.15"/>
    <n v="6732"/>
    <x v="1"/>
    <s v="2026-02"/>
  </r>
  <r>
    <s v="ORD-0085"/>
    <x v="65"/>
    <s v="Bilal"/>
    <x v="0"/>
    <x v="0"/>
    <x v="1"/>
    <x v="4"/>
    <n v="4"/>
    <n v="30000"/>
    <n v="120000"/>
    <n v="0"/>
    <n v="18000"/>
    <x v="1"/>
    <s v="2026-02"/>
  </r>
  <r>
    <s v="ORD-0086"/>
    <x v="66"/>
    <s v="Noor"/>
    <x v="4"/>
    <x v="0"/>
    <x v="3"/>
    <x v="2"/>
    <n v="5"/>
    <n v="18000"/>
    <n v="76500"/>
    <n v="0.15"/>
    <n v="18360"/>
    <x v="2"/>
    <s v="2026-03"/>
  </r>
  <r>
    <s v="ORD-0087"/>
    <x v="4"/>
    <s v="Fatima"/>
    <x v="4"/>
    <x v="0"/>
    <x v="0"/>
    <x v="3"/>
    <n v="1"/>
    <n v="18000"/>
    <n v="16200"/>
    <n v="0.1"/>
    <n v="2106"/>
    <x v="1"/>
    <s v="2026-02"/>
  </r>
  <r>
    <s v="ORD-0088"/>
    <x v="67"/>
    <s v="Bilal"/>
    <x v="2"/>
    <x v="1"/>
    <x v="2"/>
    <x v="1"/>
    <n v="3"/>
    <n v="4500"/>
    <n v="11475"/>
    <n v="0.15"/>
    <n v="2868.75"/>
    <x v="4"/>
    <s v="2026-01"/>
  </r>
  <r>
    <s v="ORD-0089"/>
    <x v="33"/>
    <s v="Ayesha"/>
    <x v="6"/>
    <x v="2"/>
    <x v="0"/>
    <x v="3"/>
    <n v="5"/>
    <n v="55000"/>
    <n v="261250"/>
    <n v="0.05"/>
    <n v="26125"/>
    <x v="1"/>
    <s v="2026-02"/>
  </r>
  <r>
    <s v="ORD-0090"/>
    <x v="68"/>
    <s v="Bilal"/>
    <x v="5"/>
    <x v="1"/>
    <x v="1"/>
    <x v="2"/>
    <n v="3"/>
    <n v="6500"/>
    <n v="16575"/>
    <n v="0.15"/>
    <n v="3812.25"/>
    <x v="5"/>
    <s v="2026-04"/>
  </r>
  <r>
    <s v="ORD-0091"/>
    <x v="32"/>
    <s v="Hamza"/>
    <x v="3"/>
    <x v="1"/>
    <x v="0"/>
    <x v="0"/>
    <n v="1"/>
    <n v="12000"/>
    <n v="10200"/>
    <n v="0.15"/>
    <n v="1122"/>
    <x v="3"/>
    <s v="2026-05"/>
  </r>
  <r>
    <s v="ORD-0092"/>
    <x v="69"/>
    <s v="Fatima"/>
    <x v="0"/>
    <x v="0"/>
    <x v="3"/>
    <x v="4"/>
    <n v="4"/>
    <n v="30000"/>
    <n v="114000"/>
    <n v="0.05"/>
    <n v="28500"/>
    <x v="0"/>
    <s v="2026-06"/>
  </r>
  <r>
    <s v="ORD-0093"/>
    <x v="23"/>
    <s v="Daniyal"/>
    <x v="4"/>
    <x v="0"/>
    <x v="0"/>
    <x v="4"/>
    <n v="2"/>
    <n v="18000"/>
    <n v="32400"/>
    <n v="0.1"/>
    <n v="7128"/>
    <x v="2"/>
    <s v="2026-03"/>
  </r>
  <r>
    <s v="ORD-0094"/>
    <x v="40"/>
    <s v="Fatima"/>
    <x v="4"/>
    <x v="0"/>
    <x v="0"/>
    <x v="3"/>
    <n v="1"/>
    <n v="18000"/>
    <n v="18000"/>
    <n v="0"/>
    <n v="1980"/>
    <x v="5"/>
    <s v="2026-04"/>
  </r>
  <r>
    <s v="ORD-0095"/>
    <x v="6"/>
    <s v="Iqra"/>
    <x v="0"/>
    <x v="0"/>
    <x v="3"/>
    <x v="2"/>
    <n v="1"/>
    <n v="30000"/>
    <n v="25500"/>
    <n v="0.15"/>
    <n v="4590"/>
    <x v="0"/>
    <s v="2026-06"/>
  </r>
  <r>
    <s v="ORD-0096"/>
    <x v="44"/>
    <s v="Maham"/>
    <x v="6"/>
    <x v="2"/>
    <x v="1"/>
    <x v="3"/>
    <n v="5"/>
    <n v="55000"/>
    <n v="275000"/>
    <n v="0"/>
    <n v="35750"/>
    <x v="0"/>
    <s v="2026-06"/>
  </r>
  <r>
    <s v="ORD-0097"/>
    <x v="29"/>
    <s v="Fatima"/>
    <x v="3"/>
    <x v="1"/>
    <x v="2"/>
    <x v="3"/>
    <n v="7"/>
    <n v="12000"/>
    <n v="79800"/>
    <n v="0.05"/>
    <n v="17556"/>
    <x v="5"/>
    <s v="2026-04"/>
  </r>
  <r>
    <s v="ORD-0098"/>
    <x v="70"/>
    <s v="Hamza"/>
    <x v="8"/>
    <x v="2"/>
    <x v="3"/>
    <x v="0"/>
    <n v="4"/>
    <n v="8500"/>
    <n v="32300"/>
    <n v="0.05"/>
    <n v="7752"/>
    <x v="5"/>
    <s v="2026-04"/>
  </r>
  <r>
    <s v="ORD-0099"/>
    <x v="21"/>
    <s v="Zain"/>
    <x v="0"/>
    <x v="0"/>
    <x v="3"/>
    <x v="2"/>
    <n v="7"/>
    <n v="30000"/>
    <n v="199500"/>
    <n v="0.05"/>
    <n v="15960"/>
    <x v="0"/>
    <s v="2026-06"/>
  </r>
  <r>
    <s v="ORD-0100"/>
    <x v="71"/>
    <s v="Fatima"/>
    <x v="3"/>
    <x v="1"/>
    <x v="3"/>
    <x v="3"/>
    <n v="2"/>
    <n v="12000"/>
    <n v="24000"/>
    <n v="0"/>
    <n v="2160"/>
    <x v="5"/>
    <s v="2026-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BE177E-A82F-44E0-B45D-4F48ABFA13CF}" name="Monthly Sales &amp; Profi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Month">
  <location ref="A14:C21" firstHeaderRow="0" firstDataRow="1" firstDataCol="1"/>
  <pivotFields count="15">
    <pivotField showAll="0"/>
    <pivotField showAll="0">
      <items count="15">
        <item x="0"/>
        <item x="1"/>
        <item x="2"/>
        <item x="3"/>
        <item x="4"/>
        <item x="5"/>
        <item x="6"/>
        <item x="7"/>
        <item x="8"/>
        <item x="9"/>
        <item x="10"/>
        <item x="11"/>
        <item x="12"/>
        <item x="13"/>
        <item t="default"/>
      </items>
    </pivotField>
    <pivotField showAll="0"/>
    <pivotField showAll="0"/>
    <pivotField showAll="0">
      <items count="4">
        <item x="1"/>
        <item x="2"/>
        <item x="0"/>
        <item t="default"/>
      </items>
    </pivotField>
    <pivotField showAll="0">
      <items count="5">
        <item x="2"/>
        <item x="1"/>
        <item x="3"/>
        <item x="0"/>
        <item t="default"/>
      </items>
    </pivotField>
    <pivotField showAll="0">
      <items count="6">
        <item x="2"/>
        <item x="3"/>
        <item x="1"/>
        <item x="0"/>
        <item x="4"/>
        <item t="default"/>
      </items>
    </pivotField>
    <pivotField showAll="0"/>
    <pivotField showAll="0"/>
    <pivotField dataField="1" showAll="0"/>
    <pivotField showAll="0"/>
    <pivotField dataField="1" showAll="0"/>
    <pivotField axis="axisRow" showAll="0">
      <items count="7">
        <item x="4"/>
        <item x="1"/>
        <item x="2"/>
        <item x="5"/>
        <item x="3"/>
        <item x="0"/>
        <item t="default"/>
      </items>
    </pivotField>
    <pivotField showAll="0"/>
    <pivotField showAll="0">
      <items count="4">
        <item x="0"/>
        <item x="1"/>
        <item x="2"/>
        <item t="default"/>
      </items>
    </pivotField>
  </pivotFields>
  <rowFields count="1">
    <field x="12"/>
  </rowFields>
  <rowItems count="7">
    <i>
      <x/>
    </i>
    <i>
      <x v="1"/>
    </i>
    <i>
      <x v="2"/>
    </i>
    <i>
      <x v="3"/>
    </i>
    <i>
      <x v="4"/>
    </i>
    <i>
      <x v="5"/>
    </i>
    <i t="grand">
      <x/>
    </i>
  </rowItems>
  <colFields count="1">
    <field x="-2"/>
  </colFields>
  <colItems count="2">
    <i>
      <x/>
    </i>
    <i i="1">
      <x v="1"/>
    </i>
  </colItems>
  <dataFields count="2">
    <dataField name="Sum of Profit" fld="11" baseField="0" baseItem="0" numFmtId="3"/>
    <dataField name="Sum of Sales" fld="9" baseField="0" baseItem="0" numFmtId="3"/>
  </dataFields>
  <formats count="10">
    <format dxfId="9">
      <pivotArea outline="0" collapsedLevelsAreSubtotals="1" fieldPosition="0"/>
    </format>
    <format dxfId="8">
      <pivotArea dataOnly="0" labelOnly="1" outline="0" fieldPosition="0">
        <references count="1">
          <reference field="4294967294" count="2">
            <x v="0"/>
            <x v="1"/>
          </reference>
        </references>
      </pivotArea>
    </format>
    <format dxfId="7">
      <pivotArea outline="0" collapsedLevelsAreSubtotals="1" fieldPosition="0">
        <references count="1">
          <reference field="4294967294" count="1" selected="0">
            <x v="0"/>
          </reference>
        </references>
      </pivotArea>
    </format>
    <format dxfId="6">
      <pivotArea outline="0" fieldPosition="0">
        <references count="1">
          <reference field="4294967294" count="1">
            <x v="1"/>
          </reference>
        </references>
      </pivotArea>
    </format>
    <format dxfId="5">
      <pivotArea type="all" dataOnly="0" outline="0" fieldPosition="0"/>
    </format>
    <format dxfId="4">
      <pivotArea outline="0" collapsedLevelsAreSubtotals="1" fieldPosition="0"/>
    </format>
    <format dxfId="3">
      <pivotArea field="12" type="button" dataOnly="0" labelOnly="1" outline="0" axis="axisRow" fieldPosition="0"/>
    </format>
    <format dxfId="2">
      <pivotArea dataOnly="0" labelOnly="1" fieldPosition="0">
        <references count="1">
          <reference field="12"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4">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F8C171-7481-4495-8E10-85437433D348}" name="Sales by 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rowHeaderCaption="Region">
  <location ref="A6:C11" firstHeaderRow="0" firstDataRow="1" firstDataCol="1"/>
  <pivotFields count="15">
    <pivotField dataField="1" showAll="0"/>
    <pivotField numFmtId="14" showAll="0"/>
    <pivotField showAll="0"/>
    <pivotField showAll="0"/>
    <pivotField showAll="0">
      <items count="4">
        <item x="1"/>
        <item x="2"/>
        <item x="0"/>
        <item t="default"/>
      </items>
    </pivotField>
    <pivotField axis="axisRow" showAll="0">
      <items count="5">
        <item x="2"/>
        <item x="1"/>
        <item x="3"/>
        <item x="0"/>
        <item t="default"/>
      </items>
    </pivotField>
    <pivotField showAll="0">
      <items count="6">
        <item x="2"/>
        <item x="3"/>
        <item x="1"/>
        <item x="0"/>
        <item x="4"/>
        <item t="default"/>
      </items>
    </pivotField>
    <pivotField showAll="0"/>
    <pivotField numFmtId="164" showAll="0"/>
    <pivotField dataField="1" numFmtId="164" showAll="0"/>
    <pivotField numFmtId="9" showAll="0"/>
    <pivotField numFmtId="164" showAll="0"/>
    <pivotField showAll="0"/>
    <pivotField showAll="0"/>
    <pivotField showAll="0" defaultSubtotal="0"/>
  </pivotFields>
  <rowFields count="1">
    <field x="5"/>
  </rowFields>
  <rowItems count="5">
    <i>
      <x/>
    </i>
    <i>
      <x v="1"/>
    </i>
    <i>
      <x v="2"/>
    </i>
    <i>
      <x v="3"/>
    </i>
    <i t="grand">
      <x/>
    </i>
  </rowItems>
  <colFields count="1">
    <field x="-2"/>
  </colFields>
  <colItems count="2">
    <i>
      <x/>
    </i>
    <i i="1">
      <x v="1"/>
    </i>
  </colItems>
  <dataFields count="2">
    <dataField name="Sum of Sales" fld="9" baseField="0" baseItem="0" numFmtId="3"/>
    <dataField name="Count of Order ID" fld="0" subtotal="count" baseField="0" baseItem="0"/>
  </dataFields>
  <formats count="10">
    <format dxfId="19">
      <pivotArea outline="0" collapsedLevelsAreSubtotals="1" fieldPosition="0"/>
    </format>
    <format dxfId="18">
      <pivotArea dataOnly="0" labelOnly="1" outline="0" axis="axisValues" fieldPosition="0"/>
    </format>
    <format dxfId="17">
      <pivotArea outline="0" collapsedLevelsAreSubtotals="1" fieldPosition="0">
        <references count="1">
          <reference field="4294967294" count="1" selected="0">
            <x v="1"/>
          </reference>
        </references>
      </pivotArea>
    </format>
    <format dxfId="16">
      <pivotArea outline="0" collapsedLevelsAreSubtotals="1" fieldPosition="0">
        <references count="1">
          <reference field="4294967294" count="1" selected="0">
            <x v="0"/>
          </reference>
        </references>
      </pivotArea>
    </format>
    <format dxfId="15">
      <pivotArea type="all" dataOnly="0" outline="0" fieldPosition="0"/>
    </format>
    <format dxfId="14">
      <pivotArea outline="0" collapsedLevelsAreSubtotals="1" fieldPosition="0"/>
    </format>
    <format dxfId="13">
      <pivotArea field="5" type="button" dataOnly="0" labelOnly="1" outline="0" axis="axisRow" fieldPosition="0"/>
    </format>
    <format dxfId="12">
      <pivotArea dataOnly="0" labelOnly="1" fieldPosition="0">
        <references count="1">
          <reference field="5" count="0"/>
        </references>
      </pivotArea>
    </format>
    <format dxfId="11">
      <pivotArea dataOnly="0" labelOnly="1" grandRow="1" outline="0" fieldPosition="0"/>
    </format>
    <format dxfId="10">
      <pivotArea dataOnly="0" labelOnly="1" outline="0" fieldPosition="0">
        <references count="1">
          <reference field="4294967294" count="2">
            <x v="0"/>
            <x v="1"/>
          </reference>
        </references>
      </pivotArea>
    </format>
  </formats>
  <chartFormats count="11">
    <chartFormat chart="8" format="1"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A5CF36-B23A-4FAF-B68D-643F7336797D}" name="Sales by 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rowHeaderCaption="Category">
  <location ref="E6:F10" firstHeaderRow="1" firstDataRow="1" firstDataCol="1"/>
  <pivotFields count="15">
    <pivotField showAll="0"/>
    <pivotField showAll="0">
      <items count="15">
        <item x="0"/>
        <item x="1"/>
        <item x="2"/>
        <item x="3"/>
        <item x="4"/>
        <item x="5"/>
        <item x="6"/>
        <item x="7"/>
        <item x="8"/>
        <item x="9"/>
        <item x="10"/>
        <item x="11"/>
        <item x="12"/>
        <item x="13"/>
        <item t="default"/>
      </items>
    </pivotField>
    <pivotField showAll="0"/>
    <pivotField showAll="0"/>
    <pivotField axis="axisRow" showAll="0">
      <items count="4">
        <item x="1"/>
        <item x="2"/>
        <item x="0"/>
        <item t="default"/>
      </items>
    </pivotField>
    <pivotField showAll="0">
      <items count="5">
        <item x="2"/>
        <item x="1"/>
        <item x="3"/>
        <item x="0"/>
        <item t="default"/>
      </items>
    </pivotField>
    <pivotField showAll="0">
      <items count="6">
        <item x="2"/>
        <item x="3"/>
        <item x="1"/>
        <item x="0"/>
        <item x="4"/>
        <item t="default"/>
      </items>
    </pivotField>
    <pivotField showAll="0"/>
    <pivotField showAll="0"/>
    <pivotField dataField="1" showAll="0"/>
    <pivotField showAll="0"/>
    <pivotField showAll="0"/>
    <pivotField showAll="0"/>
    <pivotField showAll="0"/>
    <pivotField showAll="0">
      <items count="4">
        <item x="0"/>
        <item x="1"/>
        <item x="2"/>
        <item t="default"/>
      </items>
    </pivotField>
  </pivotFields>
  <rowFields count="1">
    <field x="4"/>
  </rowFields>
  <rowItems count="4">
    <i>
      <x/>
    </i>
    <i>
      <x v="1"/>
    </i>
    <i>
      <x v="2"/>
    </i>
    <i t="grand">
      <x/>
    </i>
  </rowItems>
  <colItems count="1">
    <i/>
  </colItems>
  <dataFields count="1">
    <dataField name="Sum of Sales" fld="9" baseField="0" baseItem="0" numFmtId="3"/>
  </dataFields>
  <formats count="9">
    <format dxfId="28">
      <pivotArea outline="0" collapsedLevelsAreSubtotals="1" fieldPosition="0"/>
    </format>
    <format dxfId="27">
      <pivotArea dataOnly="0" labelOnly="1" outline="0" axis="axisValues" fieldPosition="0"/>
    </format>
    <format dxfId="26">
      <pivotArea outline="0" fieldPosition="0">
        <references count="1">
          <reference field="4294967294" count="1">
            <x v="0"/>
          </reference>
        </references>
      </pivotArea>
    </format>
    <format dxfId="25">
      <pivotArea type="all" dataOnly="0" outline="0" fieldPosition="0"/>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grandRow="1" outline="0" fieldPosition="0"/>
    </format>
    <format dxfId="2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27D762-1FC5-4831-98ED-128E61CBC68B}" name="KPI Valu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7:H28" firstHeaderRow="0" firstDataRow="1" firstDataCol="0"/>
  <pivotFields count="15">
    <pivotField dataField="1" showAll="0"/>
    <pivotField numFmtId="14" showAll="0"/>
    <pivotField showAll="0"/>
    <pivotField showAll="0"/>
    <pivotField showAll="0">
      <items count="4">
        <item x="1"/>
        <item x="2"/>
        <item x="0"/>
        <item t="default"/>
      </items>
    </pivotField>
    <pivotField showAll="0">
      <items count="5">
        <item x="2"/>
        <item x="1"/>
        <item x="3"/>
        <item x="0"/>
        <item t="default"/>
      </items>
    </pivotField>
    <pivotField showAll="0">
      <items count="6">
        <item x="2"/>
        <item x="3"/>
        <item x="1"/>
        <item x="0"/>
        <item x="4"/>
        <item t="default"/>
      </items>
    </pivotField>
    <pivotField dataField="1" showAll="0"/>
    <pivotField numFmtId="3" showAll="0"/>
    <pivotField dataField="1" numFmtId="3" showAll="0"/>
    <pivotField numFmtId="9" showAll="0"/>
    <pivotField dataField="1" numFmtId="3" showAll="0"/>
    <pivotField showAll="0"/>
    <pivotField showAll="0"/>
    <pivotField showAll="0" defaultSubtotal="0"/>
  </pivotFields>
  <rowItems count="1">
    <i/>
  </rowItems>
  <colFields count="1">
    <field x="-2"/>
  </colFields>
  <colItems count="4">
    <i>
      <x/>
    </i>
    <i i="1">
      <x v="1"/>
    </i>
    <i i="2">
      <x v="2"/>
    </i>
    <i i="3">
      <x v="3"/>
    </i>
  </colItems>
  <dataFields count="4">
    <dataField name="Count of Order ID" fld="0" subtotal="count" baseField="0" baseItem="0" numFmtId="3"/>
    <dataField name="Sum of Quantity" fld="7" baseField="0" baseItem="0" numFmtId="3"/>
    <dataField name="Sum of Sales" fld="9" baseField="0" baseItem="0" numFmtId="3"/>
    <dataField name="Sum of Profit" fld="11" baseField="0" baseItem="0" numFmtId="3"/>
  </dataFields>
  <formats count="7">
    <format dxfId="35">
      <pivotArea outline="0" collapsedLevelsAreSubtotals="1" fieldPosition="0">
        <references count="1">
          <reference field="4294967294" count="1" selected="0">
            <x v="0"/>
          </reference>
        </references>
      </pivotArea>
    </format>
    <format dxfId="34">
      <pivotArea outline="0" collapsedLevelsAreSubtotals="1" fieldPosition="0">
        <references count="1">
          <reference field="4294967294" count="1" selected="0">
            <x v="1"/>
          </reference>
        </references>
      </pivotArea>
    </format>
    <format dxfId="33">
      <pivotArea outline="0" collapsedLevelsAreSubtotals="1" fieldPosition="0">
        <references count="1">
          <reference field="4294967294" count="1" selected="0">
            <x v="2"/>
          </reference>
        </references>
      </pivotArea>
    </format>
    <format dxfId="32">
      <pivotArea outline="0" collapsedLevelsAreSubtotals="1" fieldPosition="0">
        <references count="1">
          <reference field="4294967294" count="1" selected="0">
            <x v="3"/>
          </reference>
        </references>
      </pivotArea>
    </format>
    <format dxfId="31">
      <pivotArea type="all" dataOnly="0" outline="0" fieldPosition="0"/>
    </format>
    <format dxfId="30">
      <pivotArea outline="0" collapsedLevelsAreSubtotals="1" fieldPosition="0"/>
    </format>
    <format dxfId="2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05ED21-15FD-4E64-8262-670ABDCFDED2}" name="Salesperson Performan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Salesperson">
  <location ref="A27:C33" firstHeaderRow="0" firstDataRow="1" firstDataCol="1"/>
  <pivotFields count="15">
    <pivotField showAll="0"/>
    <pivotField numFmtId="14" showAll="0"/>
    <pivotField showAll="0"/>
    <pivotField showAll="0"/>
    <pivotField showAll="0">
      <items count="4">
        <item x="1"/>
        <item x="2"/>
        <item x="0"/>
        <item t="default"/>
      </items>
    </pivotField>
    <pivotField showAll="0">
      <items count="5">
        <item x="2"/>
        <item x="1"/>
        <item x="3"/>
        <item x="0"/>
        <item t="default"/>
      </items>
    </pivotField>
    <pivotField axis="axisRow" showAll="0" sortType="descending">
      <items count="6">
        <item x="2"/>
        <item x="3"/>
        <item x="1"/>
        <item x="0"/>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 showAll="0"/>
    <pivotField showAll="0"/>
    <pivotField showAll="0" defaultSubtotal="0"/>
  </pivotFields>
  <rowFields count="1">
    <field x="6"/>
  </rowFields>
  <rowItems count="6">
    <i>
      <x/>
    </i>
    <i>
      <x v="1"/>
    </i>
    <i>
      <x v="3"/>
    </i>
    <i>
      <x v="2"/>
    </i>
    <i>
      <x v="4"/>
    </i>
    <i t="grand">
      <x/>
    </i>
  </rowItems>
  <colFields count="1">
    <field x="-2"/>
  </colFields>
  <colItems count="2">
    <i>
      <x/>
    </i>
    <i i="1">
      <x v="1"/>
    </i>
  </colItems>
  <dataFields count="2">
    <dataField name="Sum of Sales" fld="9" baseField="0" baseItem="0" numFmtId="3"/>
    <dataField name="Sum of Profit" fld="11" baseField="0" baseItem="0" numFmtId="3"/>
  </dataFields>
  <formats count="10">
    <format dxfId="45">
      <pivotArea outline="0" collapsedLevelsAreSubtotals="1" fieldPosition="0"/>
    </format>
    <format dxfId="44">
      <pivotArea dataOnly="0" labelOnly="1" outline="0" fieldPosition="0">
        <references count="1">
          <reference field="4294967294" count="2">
            <x v="0"/>
            <x v="1"/>
          </reference>
        </references>
      </pivotArea>
    </format>
    <format dxfId="43">
      <pivotArea outline="0" fieldPosition="0">
        <references count="1">
          <reference field="4294967294" count="1">
            <x v="0"/>
          </reference>
        </references>
      </pivotArea>
    </format>
    <format dxfId="42">
      <pivotArea outline="0" fieldPosition="0">
        <references count="1">
          <reference field="4294967294" count="1">
            <x v="1"/>
          </reference>
        </references>
      </pivotArea>
    </format>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grandRow="1" outline="0" fieldPosition="0"/>
    </format>
    <format dxfId="36">
      <pivotArea dataOnly="0" labelOnly="1" outline="0" fieldPosition="0">
        <references count="1">
          <reference field="4294967294" count="2">
            <x v="0"/>
            <x v="1"/>
          </reference>
        </references>
      </pivotArea>
    </format>
  </formats>
  <chartFormats count="2">
    <chartFormat chart="7" format="14"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B2E2AE-4804-450E-9D54-385379881159}" name="Product Performan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Products">
  <location ref="E14:G24" firstHeaderRow="0" firstDataRow="1" firstDataCol="1"/>
  <pivotFields count="15">
    <pivotField showAll="0"/>
    <pivotField numFmtId="14" showAll="0"/>
    <pivotField showAll="0"/>
    <pivotField axis="axisRow" showAll="0" sortType="descending">
      <items count="10">
        <item x="5"/>
        <item x="4"/>
        <item x="0"/>
        <item x="8"/>
        <item x="2"/>
        <item x="7"/>
        <item x="1"/>
        <item x="6"/>
        <item x="3"/>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5">
        <item x="2"/>
        <item x="1"/>
        <item x="3"/>
        <item x="0"/>
        <item t="default"/>
      </items>
    </pivotField>
    <pivotField showAll="0">
      <items count="6">
        <item x="2"/>
        <item x="3"/>
        <item x="1"/>
        <item x="0"/>
        <item x="4"/>
        <item t="default"/>
      </items>
    </pivotField>
    <pivotField dataField="1" showAll="0"/>
    <pivotField showAll="0"/>
    <pivotField dataField="1" showAll="0"/>
    <pivotField showAll="0"/>
    <pivotField showAll="0"/>
    <pivotField showAll="0"/>
    <pivotField showAll="0"/>
    <pivotField showAll="0"/>
  </pivotFields>
  <rowFields count="1">
    <field x="3"/>
  </rowFields>
  <rowItems count="10">
    <i>
      <x v="5"/>
    </i>
    <i>
      <x v="7"/>
    </i>
    <i>
      <x v="2"/>
    </i>
    <i>
      <x v="1"/>
    </i>
    <i>
      <x v="6"/>
    </i>
    <i>
      <x v="8"/>
    </i>
    <i>
      <x v="3"/>
    </i>
    <i>
      <x v="4"/>
    </i>
    <i>
      <x/>
    </i>
    <i t="grand">
      <x/>
    </i>
  </rowItems>
  <colFields count="1">
    <field x="-2"/>
  </colFields>
  <colItems count="2">
    <i>
      <x/>
    </i>
    <i i="1">
      <x v="1"/>
    </i>
  </colItems>
  <dataFields count="2">
    <dataField name="Sum of Sales" fld="9" baseField="0" baseItem="0" numFmtId="3"/>
    <dataField name="Sum of Quantity" fld="7" baseField="0" baseItem="0"/>
  </dataFields>
  <formats count="9">
    <format dxfId="54">
      <pivotArea outline="0" collapsedLevelsAreSubtotals="1" fieldPosition="0">
        <references count="1">
          <reference field="4294967294" count="1" selected="0">
            <x v="0"/>
          </reference>
        </references>
      </pivotArea>
    </format>
    <format dxfId="53">
      <pivotArea dataOnly="0" labelOnly="1" outline="0" fieldPosition="0">
        <references count="1">
          <reference field="4294967294" count="1">
            <x v="0"/>
          </reference>
        </references>
      </pivotArea>
    </format>
    <format dxfId="52">
      <pivotArea outline="0" fieldPosition="0">
        <references count="1">
          <reference field="4294967294" count="1">
            <x v="0"/>
          </reference>
        </references>
      </pivotArea>
    </format>
    <format dxfId="51">
      <pivotArea type="all" dataOnly="0" outline="0" fieldPosition="0"/>
    </format>
    <format dxfId="50">
      <pivotArea outline="0" collapsedLevelsAreSubtotals="1" fieldPosition="0"/>
    </format>
    <format dxfId="49">
      <pivotArea field="3" type="button" dataOnly="0" labelOnly="1" outline="0" axis="axisRow" fieldPosition="0"/>
    </format>
    <format dxfId="48">
      <pivotArea dataOnly="0" labelOnly="1" fieldPosition="0">
        <references count="1">
          <reference field="3" count="0"/>
        </references>
      </pivotArea>
    </format>
    <format dxfId="47">
      <pivotArea dataOnly="0" labelOnly="1" grandRow="1" outline="0" fieldPosition="0"/>
    </format>
    <format dxfId="46">
      <pivotArea dataOnly="0" labelOnly="1" outline="0" fieldPosition="0">
        <references count="1">
          <reference field="4294967294" count="2">
            <x v="0"/>
            <x v="1"/>
          </reference>
        </references>
      </pivotArea>
    </format>
  </formats>
  <chartFormats count="2">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BC3323-33D3-4D45-8B9B-C0AF34811C41}" sourceName="Region">
  <pivotTables>
    <pivotTable tabId="2" name="Sales by Region"/>
    <pivotTable tabId="2" name="Monthly Sales &amp; Profit"/>
    <pivotTable tabId="2" name="Sales by Category"/>
    <pivotTable tabId="2" name="Product Performance"/>
    <pivotTable tabId="2" name="Salesperson Performance"/>
    <pivotTable tabId="2" name="KPI Values"/>
  </pivotTables>
  <data>
    <tabular pivotCacheId="1224236182">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5D5C22-8741-42AF-8F0E-60858BDED9EB}" sourceName="Category">
  <pivotTables>
    <pivotTable tabId="2" name="Sales by Category"/>
    <pivotTable tabId="2" name="Monthly Sales &amp; Profit"/>
    <pivotTable tabId="2" name="Sales by Region"/>
    <pivotTable tabId="2" name="Product Performance"/>
    <pivotTable tabId="2" name="Salesperson Performance"/>
    <pivotTable tabId="2" name="KPI Values"/>
  </pivotTables>
  <data>
    <tabular pivotCacheId="122423618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6E268B3-A86A-44E4-927A-E439138210DE}" sourceName="Salesperson">
  <pivotTables>
    <pivotTable tabId="2" name="Monthly Sales &amp; Profit"/>
    <pivotTable tabId="2" name="Sales by Category"/>
    <pivotTable tabId="2" name="Sales by Region"/>
    <pivotTable tabId="2" name="Product Performance"/>
    <pivotTable tabId="2" name="Salesperson Performance"/>
    <pivotTable tabId="2" name="KPI Values"/>
  </pivotTables>
  <data>
    <tabular pivotCacheId="1224236182">
      <items count="5">
        <i x="2" s="1"/>
        <i x="3"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827DAF7-1C27-4BFF-86C7-9BEFC2B0AF76}" cache="Slicer_Region" caption="Region" rowHeight="241300"/>
  <slicer name="Category 1" xr10:uid="{5DFE5DBB-A10F-4224-9E97-033FD5F15416}" cache="Slicer_Category" caption="Category" rowHeight="241300"/>
  <slicer name="Salesperson 1" xr10:uid="{BF080B8A-55B1-4217-B6A9-AFC1D2EB7CF5}" cache="Slicer_Salesperson" caption="Salesper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303E53D-B1B3-4C03-9BB8-2143611ECE41}" cache="Slicer_Region" caption="Region" rowHeight="241300"/>
  <slicer name="Category" xr10:uid="{B1B56D8B-815C-4AC1-AA64-561299C46845}" cache="Slicer_Category" caption="Category" rowHeight="241300"/>
  <slicer name="Salesperson" xr10:uid="{A5069C28-9122-4F72-B752-1740D25261B8}" cache="Slicer_Salesperson"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D115AF-5993-4382-8CF6-31103D17AD1E}" name="SalesData" displayName="SalesData" ref="A1:N101" totalsRowShown="0" headerRowDxfId="70" dataDxfId="69">
  <autoFilter ref="A1:N101" xr:uid="{01D115AF-5993-4382-8CF6-31103D17AD1E}"/>
  <tableColumns count="14">
    <tableColumn id="1" xr3:uid="{3263B2A4-2370-48ED-833C-052F987A6538}" name="Order ID" dataDxfId="68"/>
    <tableColumn id="2" xr3:uid="{FF59D9C5-EE1C-42CD-80CC-130C1DF9D6EB}" name="Order Date" dataDxfId="67"/>
    <tableColumn id="3" xr3:uid="{49A35CC3-C1AA-4454-82F5-DB1C6B4512EB}" name="Customer Name" dataDxfId="66"/>
    <tableColumn id="4" xr3:uid="{9FDBEF3C-4EA3-4B81-83D1-525B8A1BC10D}" name="Product" dataDxfId="65"/>
    <tableColumn id="5" xr3:uid="{11EEC774-6010-46D6-B93B-EB44F72116A7}" name="Category" dataDxfId="64"/>
    <tableColumn id="6" xr3:uid="{50760C04-C693-426F-A7E7-B6C881444D17}" name="Region" dataDxfId="63"/>
    <tableColumn id="7" xr3:uid="{3EE7155B-2D16-4915-BB46-74B4BEA2F386}" name="Salesperson" dataDxfId="62"/>
    <tableColumn id="8" xr3:uid="{150212DC-70F3-4CA3-AE69-1B1198801874}" name="Quantity" dataDxfId="61"/>
    <tableColumn id="9" xr3:uid="{C452D01E-B0B4-47DA-984B-F4C82AE259E1}" name="Unit Price" dataDxfId="60"/>
    <tableColumn id="10" xr3:uid="{63E5D0A7-980D-4F73-82CA-A19CCB37DA06}" name="Sales" dataDxfId="59"/>
    <tableColumn id="11" xr3:uid="{2223F262-26DB-4CDE-B344-40296C5B194E}" name="Discount" dataDxfId="58" dataCellStyle="Per cent"/>
    <tableColumn id="12" xr3:uid="{67130E27-2E96-4395-A6CE-FC5687AD47CC}" name="Profit" dataDxfId="57"/>
    <tableColumn id="14" xr3:uid="{C8198840-D8F3-4AB6-8C58-B8AB36A8516A}" name="Month" dataDxfId="56">
      <calculatedColumnFormula>TEXT(SalesData[[#This Row],[Order Date]],"mmm")</calculatedColumnFormula>
    </tableColumn>
    <tableColumn id="15" xr3:uid="{54390ACD-4BF0-4683-A747-5938F5A12664}" name="Month sort" dataDxfId="55">
      <calculatedColumnFormula>TEXT(SalesData[[#This Row],[Order Date]],"yyyy-mm")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D3F65-28BD-4D12-9233-FE93602E0136}">
  <dimension ref="A1:N101"/>
  <sheetViews>
    <sheetView workbookViewId="0">
      <selection activeCell="C9" sqref="C9"/>
    </sheetView>
  </sheetViews>
  <sheetFormatPr defaultRowHeight="14" x14ac:dyDescent="0.3"/>
  <cols>
    <col min="1" max="1" width="10" style="2" customWidth="1"/>
    <col min="2" max="2" width="13" style="2" customWidth="1"/>
    <col min="3" max="3" width="16.36328125" style="2" customWidth="1"/>
    <col min="4" max="4" width="12" style="2" customWidth="1"/>
    <col min="5" max="5" width="10.81640625" style="2" customWidth="1"/>
    <col min="6" max="6" width="8.7265625" style="2"/>
    <col min="7" max="7" width="12.81640625" style="2" customWidth="1"/>
    <col min="8" max="8" width="10.1796875" style="2" customWidth="1"/>
    <col min="9" max="9" width="10.90625" style="12" customWidth="1"/>
    <col min="10" max="10" width="11.7265625" style="14" bestFit="1" customWidth="1"/>
    <col min="11" max="11" width="10.1796875" style="22" customWidth="1"/>
    <col min="12" max="12" width="10.7265625" style="14" bestFit="1" customWidth="1"/>
    <col min="13" max="13" width="8.7265625" style="2"/>
    <col min="14" max="14" width="11.90625" style="2" customWidth="1"/>
    <col min="15" max="16384" width="8.7265625" style="2"/>
  </cols>
  <sheetData>
    <row r="1" spans="1:14" x14ac:dyDescent="0.3">
      <c r="A1" s="2" t="s">
        <v>0</v>
      </c>
      <c r="B1" s="2" t="s">
        <v>1</v>
      </c>
      <c r="C1" s="17" t="s">
        <v>16</v>
      </c>
      <c r="D1" s="17" t="s">
        <v>2</v>
      </c>
      <c r="E1" s="17" t="s">
        <v>3</v>
      </c>
      <c r="F1" s="17" t="s">
        <v>4</v>
      </c>
      <c r="G1" s="17" t="s">
        <v>14</v>
      </c>
      <c r="H1" s="17" t="s">
        <v>5</v>
      </c>
      <c r="I1" s="18" t="s">
        <v>17</v>
      </c>
      <c r="J1" s="19" t="s">
        <v>6</v>
      </c>
      <c r="K1" s="20" t="s">
        <v>15</v>
      </c>
      <c r="L1" s="19" t="s">
        <v>7</v>
      </c>
      <c r="M1" s="17" t="s">
        <v>147</v>
      </c>
      <c r="N1" s="17" t="s">
        <v>153</v>
      </c>
    </row>
    <row r="2" spans="1:14" x14ac:dyDescent="0.3">
      <c r="A2" s="2" t="s">
        <v>18</v>
      </c>
      <c r="B2" s="21">
        <v>46191</v>
      </c>
      <c r="C2" s="2" t="s">
        <v>19</v>
      </c>
      <c r="D2" s="2" t="s">
        <v>20</v>
      </c>
      <c r="E2" s="2" t="s">
        <v>11</v>
      </c>
      <c r="F2" s="2" t="s">
        <v>21</v>
      </c>
      <c r="G2" s="2" t="s">
        <v>22</v>
      </c>
      <c r="H2" s="2">
        <v>4</v>
      </c>
      <c r="I2" s="14">
        <v>30000</v>
      </c>
      <c r="J2" s="14">
        <v>120000</v>
      </c>
      <c r="K2" s="22">
        <v>0</v>
      </c>
      <c r="L2" s="14">
        <v>9600</v>
      </c>
      <c r="M2" s="2" t="str">
        <f>TEXT(SalesData[[#This Row],[Order Date]],"mmm")</f>
        <v>Jun</v>
      </c>
      <c r="N2" s="2" t="str">
        <f>TEXT(SalesData[[#This Row],[Order Date]],"yyyy-mm")</f>
        <v>2026-06</v>
      </c>
    </row>
    <row r="3" spans="1:14" x14ac:dyDescent="0.3">
      <c r="A3" s="2" t="s">
        <v>23</v>
      </c>
      <c r="B3" s="21">
        <v>46062</v>
      </c>
      <c r="C3" s="2" t="s">
        <v>24</v>
      </c>
      <c r="D3" s="2" t="s">
        <v>25</v>
      </c>
      <c r="E3" s="2" t="s">
        <v>11</v>
      </c>
      <c r="F3" s="2" t="s">
        <v>10</v>
      </c>
      <c r="G3" s="2" t="s">
        <v>26</v>
      </c>
      <c r="H3" s="2">
        <v>6</v>
      </c>
      <c r="I3" s="14">
        <v>22000</v>
      </c>
      <c r="J3" s="14">
        <v>125400</v>
      </c>
      <c r="K3" s="22">
        <v>0.05</v>
      </c>
      <c r="L3" s="14">
        <v>12540</v>
      </c>
      <c r="M3" s="2" t="str">
        <f>TEXT(SalesData[[#This Row],[Order Date]],"mmm")</f>
        <v>Feb</v>
      </c>
      <c r="N3" s="2" t="str">
        <f>TEXT(SalesData[[#This Row],[Order Date]],"yyyy-mm")</f>
        <v>2026-02</v>
      </c>
    </row>
    <row r="4" spans="1:14" x14ac:dyDescent="0.3">
      <c r="A4" s="2" t="s">
        <v>27</v>
      </c>
      <c r="B4" s="21">
        <v>46108</v>
      </c>
      <c r="C4" s="2" t="s">
        <v>28</v>
      </c>
      <c r="D4" s="2" t="s">
        <v>25</v>
      </c>
      <c r="E4" s="2" t="s">
        <v>11</v>
      </c>
      <c r="F4" s="2" t="s">
        <v>13</v>
      </c>
      <c r="G4" s="2" t="s">
        <v>29</v>
      </c>
      <c r="H4" s="2">
        <v>3</v>
      </c>
      <c r="I4" s="14">
        <v>22000</v>
      </c>
      <c r="J4" s="14">
        <v>62700</v>
      </c>
      <c r="K4" s="22">
        <v>0.05</v>
      </c>
      <c r="L4" s="14">
        <v>12540</v>
      </c>
      <c r="M4" s="2" t="str">
        <f>TEXT(SalesData[[#This Row],[Order Date]],"mmm")</f>
        <v>Mar</v>
      </c>
      <c r="N4" s="2" t="str">
        <f>TEXT(SalesData[[#This Row],[Order Date]],"yyyy-mm")</f>
        <v>2026-03</v>
      </c>
    </row>
    <row r="5" spans="1:14" x14ac:dyDescent="0.3">
      <c r="A5" s="2" t="s">
        <v>30</v>
      </c>
      <c r="B5" s="21">
        <v>46092</v>
      </c>
      <c r="C5" s="2" t="s">
        <v>31</v>
      </c>
      <c r="D5" s="2" t="s">
        <v>32</v>
      </c>
      <c r="E5" s="2" t="s">
        <v>33</v>
      </c>
      <c r="F5" s="2" t="s">
        <v>13</v>
      </c>
      <c r="G5" s="2" t="s">
        <v>34</v>
      </c>
      <c r="H5" s="2">
        <v>2</v>
      </c>
      <c r="I5" s="14">
        <v>4500</v>
      </c>
      <c r="J5" s="14">
        <v>8550</v>
      </c>
      <c r="K5" s="22">
        <v>0.05</v>
      </c>
      <c r="L5" s="14">
        <v>1881</v>
      </c>
      <c r="M5" s="2" t="str">
        <f>TEXT(SalesData[[#This Row],[Order Date]],"mmm")</f>
        <v>Mar</v>
      </c>
      <c r="N5" s="2" t="str">
        <f>TEXT(SalesData[[#This Row],[Order Date]],"yyyy-mm")</f>
        <v>2026-03</v>
      </c>
    </row>
    <row r="6" spans="1:14" x14ac:dyDescent="0.3">
      <c r="A6" s="2" t="s">
        <v>35</v>
      </c>
      <c r="B6" s="21">
        <v>46067</v>
      </c>
      <c r="C6" s="2" t="s">
        <v>31</v>
      </c>
      <c r="D6" s="2" t="s">
        <v>32</v>
      </c>
      <c r="E6" s="2" t="s">
        <v>33</v>
      </c>
      <c r="F6" s="2" t="s">
        <v>21</v>
      </c>
      <c r="G6" s="2" t="s">
        <v>29</v>
      </c>
      <c r="H6" s="2">
        <v>4</v>
      </c>
      <c r="I6" s="14">
        <v>4500</v>
      </c>
      <c r="J6" s="14">
        <v>16200</v>
      </c>
      <c r="K6" s="22">
        <v>0.1</v>
      </c>
      <c r="L6" s="14">
        <v>2592</v>
      </c>
      <c r="M6" s="2" t="str">
        <f>TEXT(SalesData[[#This Row],[Order Date]],"mmm")</f>
        <v>Feb</v>
      </c>
      <c r="N6" s="2" t="str">
        <f>TEXT(SalesData[[#This Row],[Order Date]],"yyyy-mm")</f>
        <v>2026-02</v>
      </c>
    </row>
    <row r="7" spans="1:14" x14ac:dyDescent="0.3">
      <c r="A7" s="2" t="s">
        <v>36</v>
      </c>
      <c r="B7" s="21">
        <v>46152</v>
      </c>
      <c r="C7" s="2" t="s">
        <v>37</v>
      </c>
      <c r="D7" s="2" t="s">
        <v>38</v>
      </c>
      <c r="E7" s="2" t="s">
        <v>33</v>
      </c>
      <c r="F7" s="2" t="s">
        <v>21</v>
      </c>
      <c r="G7" s="2" t="s">
        <v>22</v>
      </c>
      <c r="H7" s="2">
        <v>3</v>
      </c>
      <c r="I7" s="14">
        <v>12000</v>
      </c>
      <c r="J7" s="14">
        <v>36000</v>
      </c>
      <c r="K7" s="22">
        <v>0</v>
      </c>
      <c r="L7" s="14">
        <v>5040</v>
      </c>
      <c r="M7" s="2" t="str">
        <f>TEXT(SalesData[[#This Row],[Order Date]],"mmm")</f>
        <v>May</v>
      </c>
      <c r="N7" s="2" t="str">
        <f>TEXT(SalesData[[#This Row],[Order Date]],"yyyy-mm")</f>
        <v>2026-05</v>
      </c>
    </row>
    <row r="8" spans="1:14" x14ac:dyDescent="0.3">
      <c r="A8" s="2" t="s">
        <v>39</v>
      </c>
      <c r="B8" s="21">
        <v>46186</v>
      </c>
      <c r="C8" s="2" t="s">
        <v>40</v>
      </c>
      <c r="D8" s="2" t="s">
        <v>41</v>
      </c>
      <c r="E8" s="2" t="s">
        <v>11</v>
      </c>
      <c r="F8" s="2" t="s">
        <v>21</v>
      </c>
      <c r="G8" s="2" t="s">
        <v>34</v>
      </c>
      <c r="H8" s="2">
        <v>3</v>
      </c>
      <c r="I8" s="14">
        <v>18000</v>
      </c>
      <c r="J8" s="14">
        <v>45900</v>
      </c>
      <c r="K8" s="22">
        <v>0.15</v>
      </c>
      <c r="L8" s="14">
        <v>4131</v>
      </c>
      <c r="M8" s="2" t="str">
        <f>TEXT(SalesData[[#This Row],[Order Date]],"mmm")</f>
        <v>Jun</v>
      </c>
      <c r="N8" s="2" t="str">
        <f>TEXT(SalesData[[#This Row],[Order Date]],"yyyy-mm")</f>
        <v>2026-06</v>
      </c>
    </row>
    <row r="9" spans="1:14" x14ac:dyDescent="0.3">
      <c r="A9" s="2" t="s">
        <v>42</v>
      </c>
      <c r="B9" s="21">
        <v>46153</v>
      </c>
      <c r="C9" s="2" t="s">
        <v>31</v>
      </c>
      <c r="D9" s="2" t="s">
        <v>43</v>
      </c>
      <c r="E9" s="2" t="s">
        <v>33</v>
      </c>
      <c r="F9" s="2" t="s">
        <v>10</v>
      </c>
      <c r="G9" s="2" t="s">
        <v>34</v>
      </c>
      <c r="H9" s="2">
        <v>3</v>
      </c>
      <c r="I9" s="14">
        <v>6500</v>
      </c>
      <c r="J9" s="14">
        <v>17550</v>
      </c>
      <c r="K9" s="22">
        <v>0.1</v>
      </c>
      <c r="L9" s="14">
        <v>2457</v>
      </c>
      <c r="M9" s="2" t="str">
        <f>TEXT(SalesData[[#This Row],[Order Date]],"mmm")</f>
        <v>May</v>
      </c>
      <c r="N9" s="2" t="str">
        <f>TEXT(SalesData[[#This Row],[Order Date]],"yyyy-mm")</f>
        <v>2026-05</v>
      </c>
    </row>
    <row r="10" spans="1:14" x14ac:dyDescent="0.3">
      <c r="A10" s="2" t="s">
        <v>44</v>
      </c>
      <c r="B10" s="21">
        <v>46094</v>
      </c>
      <c r="C10" s="2" t="s">
        <v>24</v>
      </c>
      <c r="D10" s="2" t="s">
        <v>43</v>
      </c>
      <c r="E10" s="2" t="s">
        <v>33</v>
      </c>
      <c r="F10" s="2" t="s">
        <v>13</v>
      </c>
      <c r="G10" s="2" t="s">
        <v>34</v>
      </c>
      <c r="H10" s="2">
        <v>5</v>
      </c>
      <c r="I10" s="14">
        <v>6500</v>
      </c>
      <c r="J10" s="14">
        <v>27625</v>
      </c>
      <c r="K10" s="22">
        <v>0.15</v>
      </c>
      <c r="L10" s="14">
        <v>5248.75</v>
      </c>
      <c r="M10" s="2" t="str">
        <f>TEXT(SalesData[[#This Row],[Order Date]],"mmm")</f>
        <v>Mar</v>
      </c>
      <c r="N10" s="2" t="str">
        <f>TEXT(SalesData[[#This Row],[Order Date]],"yyyy-mm")</f>
        <v>2026-03</v>
      </c>
    </row>
    <row r="11" spans="1:14" x14ac:dyDescent="0.3">
      <c r="A11" s="2" t="s">
        <v>45</v>
      </c>
      <c r="B11" s="21">
        <v>46050</v>
      </c>
      <c r="C11" s="2" t="s">
        <v>46</v>
      </c>
      <c r="D11" s="2" t="s">
        <v>32</v>
      </c>
      <c r="E11" s="2" t="s">
        <v>33</v>
      </c>
      <c r="F11" s="2" t="s">
        <v>10</v>
      </c>
      <c r="G11" s="2" t="s">
        <v>26</v>
      </c>
      <c r="H11" s="2">
        <v>3</v>
      </c>
      <c r="I11" s="14">
        <v>4500</v>
      </c>
      <c r="J11" s="14">
        <v>11475</v>
      </c>
      <c r="K11" s="22">
        <v>0.15</v>
      </c>
      <c r="L11" s="14">
        <v>2868.75</v>
      </c>
      <c r="M11" s="2" t="str">
        <f>TEXT(SalesData[[#This Row],[Order Date]],"mmm")</f>
        <v>Jan</v>
      </c>
      <c r="N11" s="2" t="str">
        <f>TEXT(SalesData[[#This Row],[Order Date]],"yyyy-mm")</f>
        <v>2026-01</v>
      </c>
    </row>
    <row r="12" spans="1:14" x14ac:dyDescent="0.3">
      <c r="A12" s="2" t="s">
        <v>47</v>
      </c>
      <c r="B12" s="21">
        <v>46184</v>
      </c>
      <c r="C12" s="2" t="s">
        <v>24</v>
      </c>
      <c r="D12" s="2" t="s">
        <v>48</v>
      </c>
      <c r="E12" s="2" t="s">
        <v>9</v>
      </c>
      <c r="F12" s="2" t="s">
        <v>12</v>
      </c>
      <c r="G12" s="2" t="s">
        <v>49</v>
      </c>
      <c r="H12" s="2">
        <v>1</v>
      </c>
      <c r="I12" s="14">
        <v>55000</v>
      </c>
      <c r="J12" s="14">
        <v>52250</v>
      </c>
      <c r="K12" s="22">
        <v>0.05</v>
      </c>
      <c r="L12" s="14">
        <v>9927.5</v>
      </c>
      <c r="M12" s="2" t="str">
        <f>TEXT(SalesData[[#This Row],[Order Date]],"mmm")</f>
        <v>Jun</v>
      </c>
      <c r="N12" s="2" t="str">
        <f>TEXT(SalesData[[#This Row],[Order Date]],"yyyy-mm")</f>
        <v>2026-06</v>
      </c>
    </row>
    <row r="13" spans="1:14" x14ac:dyDescent="0.3">
      <c r="A13" s="2" t="s">
        <v>50</v>
      </c>
      <c r="B13" s="21">
        <v>46191</v>
      </c>
      <c r="C13" s="2" t="s">
        <v>51</v>
      </c>
      <c r="D13" s="2" t="s">
        <v>8</v>
      </c>
      <c r="E13" s="2" t="s">
        <v>9</v>
      </c>
      <c r="F13" s="2" t="s">
        <v>13</v>
      </c>
      <c r="G13" s="2" t="s">
        <v>26</v>
      </c>
      <c r="H13" s="2">
        <v>7</v>
      </c>
      <c r="I13" s="14">
        <v>85000</v>
      </c>
      <c r="J13" s="14">
        <v>535500</v>
      </c>
      <c r="K13" s="22">
        <v>0.1</v>
      </c>
      <c r="L13" s="14">
        <v>42840</v>
      </c>
      <c r="M13" s="2" t="str">
        <f>TEXT(SalesData[[#This Row],[Order Date]],"mmm")</f>
        <v>Jun</v>
      </c>
      <c r="N13" s="2" t="str">
        <f>TEXT(SalesData[[#This Row],[Order Date]],"yyyy-mm")</f>
        <v>2026-06</v>
      </c>
    </row>
    <row r="14" spans="1:14" x14ac:dyDescent="0.3">
      <c r="A14" s="2" t="s">
        <v>52</v>
      </c>
      <c r="B14" s="21">
        <v>46025</v>
      </c>
      <c r="C14" s="2" t="s">
        <v>51</v>
      </c>
      <c r="D14" s="2" t="s">
        <v>38</v>
      </c>
      <c r="E14" s="2" t="s">
        <v>33</v>
      </c>
      <c r="F14" s="2" t="s">
        <v>12</v>
      </c>
      <c r="G14" s="2" t="s">
        <v>26</v>
      </c>
      <c r="H14" s="2">
        <v>7</v>
      </c>
      <c r="I14" s="14">
        <v>12000</v>
      </c>
      <c r="J14" s="14">
        <v>75600</v>
      </c>
      <c r="K14" s="22">
        <v>0.1</v>
      </c>
      <c r="L14" s="14">
        <v>18900</v>
      </c>
      <c r="M14" s="2" t="str">
        <f>TEXT(SalesData[[#This Row],[Order Date]],"mmm")</f>
        <v>Jan</v>
      </c>
      <c r="N14" s="2" t="str">
        <f>TEXT(SalesData[[#This Row],[Order Date]],"yyyy-mm")</f>
        <v>2026-01</v>
      </c>
    </row>
    <row r="15" spans="1:14" x14ac:dyDescent="0.3">
      <c r="A15" s="2" t="s">
        <v>53</v>
      </c>
      <c r="B15" s="21">
        <v>46177</v>
      </c>
      <c r="C15" s="2" t="s">
        <v>40</v>
      </c>
      <c r="D15" s="2" t="s">
        <v>20</v>
      </c>
      <c r="E15" s="2" t="s">
        <v>11</v>
      </c>
      <c r="F15" s="2" t="s">
        <v>13</v>
      </c>
      <c r="G15" s="2" t="s">
        <v>29</v>
      </c>
      <c r="H15" s="2">
        <v>6</v>
      </c>
      <c r="I15" s="14">
        <v>30000</v>
      </c>
      <c r="J15" s="14">
        <v>180000</v>
      </c>
      <c r="K15" s="22">
        <v>0</v>
      </c>
      <c r="L15" s="14">
        <v>32400</v>
      </c>
      <c r="M15" s="2" t="str">
        <f>TEXT(SalesData[[#This Row],[Order Date]],"mmm")</f>
        <v>Jun</v>
      </c>
      <c r="N15" s="2" t="str">
        <f>TEXT(SalesData[[#This Row],[Order Date]],"yyyy-mm")</f>
        <v>2026-06</v>
      </c>
    </row>
    <row r="16" spans="1:14" x14ac:dyDescent="0.3">
      <c r="A16" s="2" t="s">
        <v>54</v>
      </c>
      <c r="B16" s="21">
        <v>46072</v>
      </c>
      <c r="C16" s="2" t="s">
        <v>28</v>
      </c>
      <c r="D16" s="2" t="s">
        <v>20</v>
      </c>
      <c r="E16" s="2" t="s">
        <v>11</v>
      </c>
      <c r="F16" s="2" t="s">
        <v>21</v>
      </c>
      <c r="G16" s="2" t="s">
        <v>22</v>
      </c>
      <c r="H16" s="2">
        <v>1</v>
      </c>
      <c r="I16" s="14">
        <v>30000</v>
      </c>
      <c r="J16" s="14">
        <v>27000</v>
      </c>
      <c r="K16" s="22">
        <v>0.1</v>
      </c>
      <c r="L16" s="14">
        <v>6210</v>
      </c>
      <c r="M16" s="2" t="str">
        <f>TEXT(SalesData[[#This Row],[Order Date]],"mmm")</f>
        <v>Feb</v>
      </c>
      <c r="N16" s="2" t="str">
        <f>TEXT(SalesData[[#This Row],[Order Date]],"yyyy-mm")</f>
        <v>2026-02</v>
      </c>
    </row>
    <row r="17" spans="1:14" x14ac:dyDescent="0.3">
      <c r="A17" s="2" t="s">
        <v>55</v>
      </c>
      <c r="B17" s="21">
        <v>46174</v>
      </c>
      <c r="C17" s="2" t="s">
        <v>37</v>
      </c>
      <c r="D17" s="2" t="s">
        <v>41</v>
      </c>
      <c r="E17" s="2" t="s">
        <v>11</v>
      </c>
      <c r="F17" s="2" t="s">
        <v>10</v>
      </c>
      <c r="G17" s="2" t="s">
        <v>22</v>
      </c>
      <c r="H17" s="2">
        <v>6</v>
      </c>
      <c r="I17" s="14">
        <v>18000</v>
      </c>
      <c r="J17" s="14">
        <v>102600</v>
      </c>
      <c r="K17" s="22">
        <v>0.05</v>
      </c>
      <c r="L17" s="14">
        <v>25650</v>
      </c>
      <c r="M17" s="2" t="str">
        <f>TEXT(SalesData[[#This Row],[Order Date]],"mmm")</f>
        <v>Jun</v>
      </c>
      <c r="N17" s="2" t="str">
        <f>TEXT(SalesData[[#This Row],[Order Date]],"yyyy-mm")</f>
        <v>2026-06</v>
      </c>
    </row>
    <row r="18" spans="1:14" x14ac:dyDescent="0.3">
      <c r="A18" s="2" t="s">
        <v>56</v>
      </c>
      <c r="B18" s="21">
        <v>46046</v>
      </c>
      <c r="C18" s="2" t="s">
        <v>37</v>
      </c>
      <c r="D18" s="2" t="s">
        <v>25</v>
      </c>
      <c r="E18" s="2" t="s">
        <v>11</v>
      </c>
      <c r="F18" s="2" t="s">
        <v>13</v>
      </c>
      <c r="G18" s="2" t="s">
        <v>22</v>
      </c>
      <c r="H18" s="2">
        <v>7</v>
      </c>
      <c r="I18" s="14">
        <v>22000</v>
      </c>
      <c r="J18" s="14">
        <v>146300</v>
      </c>
      <c r="K18" s="22">
        <v>0.05</v>
      </c>
      <c r="L18" s="14">
        <v>16093</v>
      </c>
      <c r="M18" s="2" t="str">
        <f>TEXT(SalesData[[#This Row],[Order Date]],"mmm")</f>
        <v>Jan</v>
      </c>
      <c r="N18" s="2" t="str">
        <f>TEXT(SalesData[[#This Row],[Order Date]],"yyyy-mm")</f>
        <v>2026-01</v>
      </c>
    </row>
    <row r="19" spans="1:14" x14ac:dyDescent="0.3">
      <c r="A19" s="2" t="s">
        <v>57</v>
      </c>
      <c r="B19" s="21">
        <v>46176</v>
      </c>
      <c r="C19" s="2" t="s">
        <v>58</v>
      </c>
      <c r="D19" s="2" t="s">
        <v>59</v>
      </c>
      <c r="E19" s="2" t="s">
        <v>9</v>
      </c>
      <c r="F19" s="2" t="s">
        <v>21</v>
      </c>
      <c r="G19" s="2" t="s">
        <v>49</v>
      </c>
      <c r="H19" s="2">
        <v>5</v>
      </c>
      <c r="I19" s="14">
        <v>8500</v>
      </c>
      <c r="J19" s="14">
        <v>42500</v>
      </c>
      <c r="K19" s="22">
        <v>0</v>
      </c>
      <c r="L19" s="14">
        <v>3400</v>
      </c>
      <c r="M19" s="2" t="str">
        <f>TEXT(SalesData[[#This Row],[Order Date]],"mmm")</f>
        <v>Jun</v>
      </c>
      <c r="N19" s="2" t="str">
        <f>TEXT(SalesData[[#This Row],[Order Date]],"yyyy-mm")</f>
        <v>2026-06</v>
      </c>
    </row>
    <row r="20" spans="1:14" x14ac:dyDescent="0.3">
      <c r="A20" s="2" t="s">
        <v>60</v>
      </c>
      <c r="B20" s="21">
        <v>46141</v>
      </c>
      <c r="C20" s="2" t="s">
        <v>28</v>
      </c>
      <c r="D20" s="2" t="s">
        <v>48</v>
      </c>
      <c r="E20" s="2" t="s">
        <v>9</v>
      </c>
      <c r="F20" s="2" t="s">
        <v>21</v>
      </c>
      <c r="G20" s="2" t="s">
        <v>26</v>
      </c>
      <c r="H20" s="2">
        <v>3</v>
      </c>
      <c r="I20" s="14">
        <v>55000</v>
      </c>
      <c r="J20" s="14">
        <v>140250</v>
      </c>
      <c r="K20" s="22">
        <v>0.15</v>
      </c>
      <c r="L20" s="14">
        <v>14025</v>
      </c>
      <c r="M20" s="2" t="str">
        <f>TEXT(SalesData[[#This Row],[Order Date]],"mmm")</f>
        <v>Apr</v>
      </c>
      <c r="N20" s="2" t="str">
        <f>TEXT(SalesData[[#This Row],[Order Date]],"yyyy-mm")</f>
        <v>2026-04</v>
      </c>
    </row>
    <row r="21" spans="1:14" x14ac:dyDescent="0.3">
      <c r="A21" s="2" t="s">
        <v>61</v>
      </c>
      <c r="B21" s="21">
        <v>46051</v>
      </c>
      <c r="C21" s="2" t="s">
        <v>62</v>
      </c>
      <c r="D21" s="2" t="s">
        <v>59</v>
      </c>
      <c r="E21" s="2" t="s">
        <v>9</v>
      </c>
      <c r="F21" s="2" t="s">
        <v>10</v>
      </c>
      <c r="G21" s="2" t="s">
        <v>34</v>
      </c>
      <c r="H21" s="2">
        <v>5</v>
      </c>
      <c r="I21" s="14">
        <v>8500</v>
      </c>
      <c r="J21" s="14">
        <v>40375</v>
      </c>
      <c r="K21" s="22">
        <v>0.05</v>
      </c>
      <c r="L21" s="14">
        <v>9286.25</v>
      </c>
      <c r="M21" s="2" t="str">
        <f>TEXT(SalesData[[#This Row],[Order Date]],"mmm")</f>
        <v>Jan</v>
      </c>
      <c r="N21" s="2" t="str">
        <f>TEXT(SalesData[[#This Row],[Order Date]],"yyyy-mm")</f>
        <v>2026-01</v>
      </c>
    </row>
    <row r="22" spans="1:14" x14ac:dyDescent="0.3">
      <c r="A22" s="2" t="s">
        <v>63</v>
      </c>
      <c r="B22" s="21">
        <v>46076</v>
      </c>
      <c r="C22" s="2" t="s">
        <v>37</v>
      </c>
      <c r="D22" s="2" t="s">
        <v>48</v>
      </c>
      <c r="E22" s="2" t="s">
        <v>9</v>
      </c>
      <c r="F22" s="2" t="s">
        <v>10</v>
      </c>
      <c r="G22" s="2" t="s">
        <v>34</v>
      </c>
      <c r="H22" s="2">
        <v>4</v>
      </c>
      <c r="I22" s="14">
        <v>55000</v>
      </c>
      <c r="J22" s="14">
        <v>187000</v>
      </c>
      <c r="K22" s="22">
        <v>0.15</v>
      </c>
      <c r="L22" s="14">
        <v>44880</v>
      </c>
      <c r="M22" s="2" t="str">
        <f>TEXT(SalesData[[#This Row],[Order Date]],"mmm")</f>
        <v>Feb</v>
      </c>
      <c r="N22" s="2" t="str">
        <f>TEXT(SalesData[[#This Row],[Order Date]],"yyyy-mm")</f>
        <v>2026-02</v>
      </c>
    </row>
    <row r="23" spans="1:14" x14ac:dyDescent="0.3">
      <c r="A23" s="2" t="s">
        <v>64</v>
      </c>
      <c r="B23" s="21">
        <v>46102</v>
      </c>
      <c r="C23" s="2" t="s">
        <v>46</v>
      </c>
      <c r="D23" s="2" t="s">
        <v>8</v>
      </c>
      <c r="E23" s="2" t="s">
        <v>9</v>
      </c>
      <c r="F23" s="2" t="s">
        <v>12</v>
      </c>
      <c r="G23" s="2" t="s">
        <v>22</v>
      </c>
      <c r="H23" s="2">
        <v>4</v>
      </c>
      <c r="I23" s="14">
        <v>85000</v>
      </c>
      <c r="J23" s="14">
        <v>323000</v>
      </c>
      <c r="K23" s="22">
        <v>0.05</v>
      </c>
      <c r="L23" s="14">
        <v>48450</v>
      </c>
      <c r="M23" s="2" t="str">
        <f>TEXT(SalesData[[#This Row],[Order Date]],"mmm")</f>
        <v>Mar</v>
      </c>
      <c r="N23" s="2" t="str">
        <f>TEXT(SalesData[[#This Row],[Order Date]],"yyyy-mm")</f>
        <v>2026-03</v>
      </c>
    </row>
    <row r="24" spans="1:14" x14ac:dyDescent="0.3">
      <c r="A24" s="2" t="s">
        <v>65</v>
      </c>
      <c r="B24" s="21">
        <v>46194</v>
      </c>
      <c r="C24" s="2" t="s">
        <v>40</v>
      </c>
      <c r="D24" s="2" t="s">
        <v>48</v>
      </c>
      <c r="E24" s="2" t="s">
        <v>9</v>
      </c>
      <c r="F24" s="2" t="s">
        <v>21</v>
      </c>
      <c r="G24" s="2" t="s">
        <v>26</v>
      </c>
      <c r="H24" s="2">
        <v>6</v>
      </c>
      <c r="I24" s="14">
        <v>55000</v>
      </c>
      <c r="J24" s="14">
        <v>297000</v>
      </c>
      <c r="K24" s="22">
        <v>0.1</v>
      </c>
      <c r="L24" s="14">
        <v>71280</v>
      </c>
      <c r="M24" s="2" t="str">
        <f>TEXT(SalesData[[#This Row],[Order Date]],"mmm")</f>
        <v>Jun</v>
      </c>
      <c r="N24" s="2" t="str">
        <f>TEXT(SalesData[[#This Row],[Order Date]],"yyyy-mm")</f>
        <v>2026-06</v>
      </c>
    </row>
    <row r="25" spans="1:14" x14ac:dyDescent="0.3">
      <c r="A25" s="2" t="s">
        <v>66</v>
      </c>
      <c r="B25" s="21">
        <v>46041</v>
      </c>
      <c r="C25" s="2" t="s">
        <v>31</v>
      </c>
      <c r="D25" s="2" t="s">
        <v>41</v>
      </c>
      <c r="E25" s="2" t="s">
        <v>11</v>
      </c>
      <c r="F25" s="2" t="s">
        <v>21</v>
      </c>
      <c r="G25" s="2" t="s">
        <v>34</v>
      </c>
      <c r="H25" s="2">
        <v>7</v>
      </c>
      <c r="I25" s="14">
        <v>18000</v>
      </c>
      <c r="J25" s="14">
        <v>126000</v>
      </c>
      <c r="K25" s="22">
        <v>0</v>
      </c>
      <c r="L25" s="14">
        <v>27720</v>
      </c>
      <c r="M25" s="2" t="str">
        <f>TEXT(SalesData[[#This Row],[Order Date]],"mmm")</f>
        <v>Jan</v>
      </c>
      <c r="N25" s="2" t="str">
        <f>TEXT(SalesData[[#This Row],[Order Date]],"yyyy-mm")</f>
        <v>2026-01</v>
      </c>
    </row>
    <row r="26" spans="1:14" x14ac:dyDescent="0.3">
      <c r="A26" s="2" t="s">
        <v>67</v>
      </c>
      <c r="B26" s="21">
        <v>46089</v>
      </c>
      <c r="C26" s="2" t="s">
        <v>46</v>
      </c>
      <c r="D26" s="2" t="s">
        <v>38</v>
      </c>
      <c r="E26" s="2" t="s">
        <v>33</v>
      </c>
      <c r="F26" s="2" t="s">
        <v>13</v>
      </c>
      <c r="G26" s="2" t="s">
        <v>49</v>
      </c>
      <c r="H26" s="2">
        <v>3</v>
      </c>
      <c r="I26" s="14">
        <v>12000</v>
      </c>
      <c r="J26" s="14">
        <v>30600</v>
      </c>
      <c r="K26" s="22">
        <v>0.15</v>
      </c>
      <c r="L26" s="14">
        <v>7650</v>
      </c>
      <c r="M26" s="2" t="str">
        <f>TEXT(SalesData[[#This Row],[Order Date]],"mmm")</f>
        <v>Mar</v>
      </c>
      <c r="N26" s="2" t="str">
        <f>TEXT(SalesData[[#This Row],[Order Date]],"yyyy-mm")</f>
        <v>2026-03</v>
      </c>
    </row>
    <row r="27" spans="1:14" x14ac:dyDescent="0.3">
      <c r="A27" s="2" t="s">
        <v>68</v>
      </c>
      <c r="B27" s="21">
        <v>46165</v>
      </c>
      <c r="C27" s="2" t="s">
        <v>51</v>
      </c>
      <c r="D27" s="2" t="s">
        <v>32</v>
      </c>
      <c r="E27" s="2" t="s">
        <v>33</v>
      </c>
      <c r="F27" s="2" t="s">
        <v>10</v>
      </c>
      <c r="G27" s="2" t="s">
        <v>29</v>
      </c>
      <c r="H27" s="2">
        <v>5</v>
      </c>
      <c r="I27" s="14">
        <v>4500</v>
      </c>
      <c r="J27" s="14">
        <v>19125</v>
      </c>
      <c r="K27" s="22">
        <v>0.15</v>
      </c>
      <c r="L27" s="14">
        <v>2295</v>
      </c>
      <c r="M27" s="2" t="str">
        <f>TEXT(SalesData[[#This Row],[Order Date]],"mmm")</f>
        <v>May</v>
      </c>
      <c r="N27" s="2" t="str">
        <f>TEXT(SalesData[[#This Row],[Order Date]],"yyyy-mm")</f>
        <v>2026-05</v>
      </c>
    </row>
    <row r="28" spans="1:14" x14ac:dyDescent="0.3">
      <c r="A28" s="2" t="s">
        <v>69</v>
      </c>
      <c r="B28" s="21">
        <v>46046</v>
      </c>
      <c r="C28" s="2" t="s">
        <v>24</v>
      </c>
      <c r="D28" s="2" t="s">
        <v>8</v>
      </c>
      <c r="E28" s="2" t="s">
        <v>9</v>
      </c>
      <c r="F28" s="2" t="s">
        <v>10</v>
      </c>
      <c r="G28" s="2" t="s">
        <v>29</v>
      </c>
      <c r="H28" s="2">
        <v>3</v>
      </c>
      <c r="I28" s="14">
        <v>85000</v>
      </c>
      <c r="J28" s="14">
        <v>242250</v>
      </c>
      <c r="K28" s="22">
        <v>0.05</v>
      </c>
      <c r="L28" s="14">
        <v>33915</v>
      </c>
      <c r="M28" s="2" t="str">
        <f>TEXT(SalesData[[#This Row],[Order Date]],"mmm")</f>
        <v>Jan</v>
      </c>
      <c r="N28" s="2" t="str">
        <f>TEXT(SalesData[[#This Row],[Order Date]],"yyyy-mm")</f>
        <v>2026-01</v>
      </c>
    </row>
    <row r="29" spans="1:14" x14ac:dyDescent="0.3">
      <c r="A29" s="2" t="s">
        <v>70</v>
      </c>
      <c r="B29" s="21">
        <v>46195</v>
      </c>
      <c r="C29" s="2" t="s">
        <v>24</v>
      </c>
      <c r="D29" s="2" t="s">
        <v>38</v>
      </c>
      <c r="E29" s="2" t="s">
        <v>33</v>
      </c>
      <c r="F29" s="2" t="s">
        <v>13</v>
      </c>
      <c r="G29" s="2" t="s">
        <v>26</v>
      </c>
      <c r="H29" s="2">
        <v>1</v>
      </c>
      <c r="I29" s="14">
        <v>12000</v>
      </c>
      <c r="J29" s="14">
        <v>10200</v>
      </c>
      <c r="K29" s="22">
        <v>0.15</v>
      </c>
      <c r="L29" s="14">
        <v>2346</v>
      </c>
      <c r="M29" s="2" t="str">
        <f>TEXT(SalesData[[#This Row],[Order Date]],"mmm")</f>
        <v>Jun</v>
      </c>
      <c r="N29" s="2" t="str">
        <f>TEXT(SalesData[[#This Row],[Order Date]],"yyyy-mm")</f>
        <v>2026-06</v>
      </c>
    </row>
    <row r="30" spans="1:14" x14ac:dyDescent="0.3">
      <c r="A30" s="2" t="s">
        <v>71</v>
      </c>
      <c r="B30" s="21">
        <v>46140</v>
      </c>
      <c r="C30" s="2" t="s">
        <v>62</v>
      </c>
      <c r="D30" s="2" t="s">
        <v>41</v>
      </c>
      <c r="E30" s="2" t="s">
        <v>11</v>
      </c>
      <c r="F30" s="2" t="s">
        <v>21</v>
      </c>
      <c r="G30" s="2" t="s">
        <v>26</v>
      </c>
      <c r="H30" s="2">
        <v>4</v>
      </c>
      <c r="I30" s="14">
        <v>18000</v>
      </c>
      <c r="J30" s="14">
        <v>68400</v>
      </c>
      <c r="K30" s="22">
        <v>0.05</v>
      </c>
      <c r="L30" s="14">
        <v>14364</v>
      </c>
      <c r="M30" s="2" t="str">
        <f>TEXT(SalesData[[#This Row],[Order Date]],"mmm")</f>
        <v>Apr</v>
      </c>
      <c r="N30" s="2" t="str">
        <f>TEXT(SalesData[[#This Row],[Order Date]],"yyyy-mm")</f>
        <v>2026-04</v>
      </c>
    </row>
    <row r="31" spans="1:14" x14ac:dyDescent="0.3">
      <c r="A31" s="2" t="s">
        <v>72</v>
      </c>
      <c r="B31" s="21">
        <v>46062</v>
      </c>
      <c r="C31" s="2" t="s">
        <v>31</v>
      </c>
      <c r="D31" s="2" t="s">
        <v>25</v>
      </c>
      <c r="E31" s="2" t="s">
        <v>11</v>
      </c>
      <c r="F31" s="2" t="s">
        <v>13</v>
      </c>
      <c r="G31" s="2" t="s">
        <v>34</v>
      </c>
      <c r="H31" s="2">
        <v>7</v>
      </c>
      <c r="I31" s="14">
        <v>22000</v>
      </c>
      <c r="J31" s="14">
        <v>154000</v>
      </c>
      <c r="K31" s="22">
        <v>0</v>
      </c>
      <c r="L31" s="14">
        <v>35420</v>
      </c>
      <c r="M31" s="2" t="str">
        <f>TEXT(SalesData[[#This Row],[Order Date]],"mmm")</f>
        <v>Feb</v>
      </c>
      <c r="N31" s="2" t="str">
        <f>TEXT(SalesData[[#This Row],[Order Date]],"yyyy-mm")</f>
        <v>2026-02</v>
      </c>
    </row>
    <row r="32" spans="1:14" x14ac:dyDescent="0.3">
      <c r="A32" s="2" t="s">
        <v>73</v>
      </c>
      <c r="B32" s="21">
        <v>46080</v>
      </c>
      <c r="C32" s="2" t="s">
        <v>31</v>
      </c>
      <c r="D32" s="2" t="s">
        <v>25</v>
      </c>
      <c r="E32" s="2" t="s">
        <v>11</v>
      </c>
      <c r="F32" s="2" t="s">
        <v>21</v>
      </c>
      <c r="G32" s="2" t="s">
        <v>34</v>
      </c>
      <c r="H32" s="2">
        <v>7</v>
      </c>
      <c r="I32" s="14">
        <v>22000</v>
      </c>
      <c r="J32" s="14">
        <v>146300</v>
      </c>
      <c r="K32" s="22">
        <v>0.05</v>
      </c>
      <c r="L32" s="14">
        <v>19019</v>
      </c>
      <c r="M32" s="2" t="str">
        <f>TEXT(SalesData[[#This Row],[Order Date]],"mmm")</f>
        <v>Feb</v>
      </c>
      <c r="N32" s="2" t="str">
        <f>TEXT(SalesData[[#This Row],[Order Date]],"yyyy-mm")</f>
        <v>2026-02</v>
      </c>
    </row>
    <row r="33" spans="1:14" x14ac:dyDescent="0.3">
      <c r="A33" s="2" t="s">
        <v>74</v>
      </c>
      <c r="B33" s="21">
        <v>46052</v>
      </c>
      <c r="C33" s="2" t="s">
        <v>19</v>
      </c>
      <c r="D33" s="2" t="s">
        <v>20</v>
      </c>
      <c r="E33" s="2" t="s">
        <v>11</v>
      </c>
      <c r="F33" s="2" t="s">
        <v>10</v>
      </c>
      <c r="G33" s="2" t="s">
        <v>29</v>
      </c>
      <c r="H33" s="2">
        <v>3</v>
      </c>
      <c r="I33" s="14">
        <v>30000</v>
      </c>
      <c r="J33" s="14">
        <v>81000</v>
      </c>
      <c r="K33" s="22">
        <v>0.1</v>
      </c>
      <c r="L33" s="14">
        <v>12960</v>
      </c>
      <c r="M33" s="2" t="str">
        <f>TEXT(SalesData[[#This Row],[Order Date]],"mmm")</f>
        <v>Jan</v>
      </c>
      <c r="N33" s="2" t="str">
        <f>TEXT(SalesData[[#This Row],[Order Date]],"yyyy-mm")</f>
        <v>2026-01</v>
      </c>
    </row>
    <row r="34" spans="1:14" x14ac:dyDescent="0.3">
      <c r="A34" s="2" t="s">
        <v>75</v>
      </c>
      <c r="B34" s="21">
        <v>46092</v>
      </c>
      <c r="C34" s="2" t="s">
        <v>58</v>
      </c>
      <c r="D34" s="2" t="s">
        <v>41</v>
      </c>
      <c r="E34" s="2" t="s">
        <v>11</v>
      </c>
      <c r="F34" s="2" t="s">
        <v>13</v>
      </c>
      <c r="G34" s="2" t="s">
        <v>22</v>
      </c>
      <c r="H34" s="2">
        <v>6</v>
      </c>
      <c r="I34" s="14">
        <v>18000</v>
      </c>
      <c r="J34" s="14">
        <v>108000</v>
      </c>
      <c r="K34" s="22">
        <v>0</v>
      </c>
      <c r="L34" s="14">
        <v>19440</v>
      </c>
      <c r="M34" s="2" t="str">
        <f>TEXT(SalesData[[#This Row],[Order Date]],"mmm")</f>
        <v>Mar</v>
      </c>
      <c r="N34" s="2" t="str">
        <f>TEXT(SalesData[[#This Row],[Order Date]],"yyyy-mm")</f>
        <v>2026-03</v>
      </c>
    </row>
    <row r="35" spans="1:14" x14ac:dyDescent="0.3">
      <c r="A35" s="2" t="s">
        <v>76</v>
      </c>
      <c r="B35" s="21">
        <v>46138</v>
      </c>
      <c r="C35" s="2" t="s">
        <v>51</v>
      </c>
      <c r="D35" s="2" t="s">
        <v>32</v>
      </c>
      <c r="E35" s="2" t="s">
        <v>33</v>
      </c>
      <c r="F35" s="2" t="s">
        <v>21</v>
      </c>
      <c r="G35" s="2" t="s">
        <v>29</v>
      </c>
      <c r="H35" s="2">
        <v>7</v>
      </c>
      <c r="I35" s="14">
        <v>4500</v>
      </c>
      <c r="J35" s="14">
        <v>28350</v>
      </c>
      <c r="K35" s="22">
        <v>0.1</v>
      </c>
      <c r="L35" s="14">
        <v>4819.5</v>
      </c>
      <c r="M35" s="2" t="str">
        <f>TEXT(SalesData[[#This Row],[Order Date]],"mmm")</f>
        <v>Apr</v>
      </c>
      <c r="N35" s="2" t="str">
        <f>TEXT(SalesData[[#This Row],[Order Date]],"yyyy-mm")</f>
        <v>2026-04</v>
      </c>
    </row>
    <row r="36" spans="1:14" x14ac:dyDescent="0.3">
      <c r="A36" s="2" t="s">
        <v>77</v>
      </c>
      <c r="B36" s="21">
        <v>46195</v>
      </c>
      <c r="C36" s="2" t="s">
        <v>28</v>
      </c>
      <c r="D36" s="2" t="s">
        <v>32</v>
      </c>
      <c r="E36" s="2" t="s">
        <v>33</v>
      </c>
      <c r="F36" s="2" t="s">
        <v>12</v>
      </c>
      <c r="G36" s="2" t="s">
        <v>29</v>
      </c>
      <c r="H36" s="2">
        <v>5</v>
      </c>
      <c r="I36" s="14">
        <v>4500</v>
      </c>
      <c r="J36" s="14">
        <v>21375</v>
      </c>
      <c r="K36" s="22">
        <v>0.05</v>
      </c>
      <c r="L36" s="14">
        <v>2137.5</v>
      </c>
      <c r="M36" s="2" t="str">
        <f>TEXT(SalesData[[#This Row],[Order Date]],"mmm")</f>
        <v>Jun</v>
      </c>
      <c r="N36" s="2" t="str">
        <f>TEXT(SalesData[[#This Row],[Order Date]],"yyyy-mm")</f>
        <v>2026-06</v>
      </c>
    </row>
    <row r="37" spans="1:14" x14ac:dyDescent="0.3">
      <c r="A37" s="2" t="s">
        <v>78</v>
      </c>
      <c r="B37" s="21">
        <v>46167</v>
      </c>
      <c r="C37" s="2" t="s">
        <v>31</v>
      </c>
      <c r="D37" s="2" t="s">
        <v>25</v>
      </c>
      <c r="E37" s="2" t="s">
        <v>11</v>
      </c>
      <c r="F37" s="2" t="s">
        <v>12</v>
      </c>
      <c r="G37" s="2" t="s">
        <v>34</v>
      </c>
      <c r="H37" s="2">
        <v>5</v>
      </c>
      <c r="I37" s="14">
        <v>22000</v>
      </c>
      <c r="J37" s="14">
        <v>99000</v>
      </c>
      <c r="K37" s="22">
        <v>0.1</v>
      </c>
      <c r="L37" s="14">
        <v>24750</v>
      </c>
      <c r="M37" s="2" t="str">
        <f>TEXT(SalesData[[#This Row],[Order Date]],"mmm")</f>
        <v>May</v>
      </c>
      <c r="N37" s="2" t="str">
        <f>TEXT(SalesData[[#This Row],[Order Date]],"yyyy-mm")</f>
        <v>2026-05</v>
      </c>
    </row>
    <row r="38" spans="1:14" x14ac:dyDescent="0.3">
      <c r="A38" s="2" t="s">
        <v>79</v>
      </c>
      <c r="B38" s="21">
        <v>46048</v>
      </c>
      <c r="C38" s="2" t="s">
        <v>19</v>
      </c>
      <c r="D38" s="2" t="s">
        <v>20</v>
      </c>
      <c r="E38" s="2" t="s">
        <v>11</v>
      </c>
      <c r="F38" s="2" t="s">
        <v>13</v>
      </c>
      <c r="G38" s="2" t="s">
        <v>26</v>
      </c>
      <c r="H38" s="2">
        <v>3</v>
      </c>
      <c r="I38" s="14">
        <v>30000</v>
      </c>
      <c r="J38" s="14">
        <v>76500</v>
      </c>
      <c r="K38" s="22">
        <v>0.15</v>
      </c>
      <c r="L38" s="14">
        <v>19125</v>
      </c>
      <c r="M38" s="2" t="str">
        <f>TEXT(SalesData[[#This Row],[Order Date]],"mmm")</f>
        <v>Jan</v>
      </c>
      <c r="N38" s="2" t="str">
        <f>TEXT(SalesData[[#This Row],[Order Date]],"yyyy-mm")</f>
        <v>2026-01</v>
      </c>
    </row>
    <row r="39" spans="1:14" x14ac:dyDescent="0.3">
      <c r="A39" s="2" t="s">
        <v>80</v>
      </c>
      <c r="B39" s="21">
        <v>46172</v>
      </c>
      <c r="C39" s="2" t="s">
        <v>58</v>
      </c>
      <c r="D39" s="2" t="s">
        <v>38</v>
      </c>
      <c r="E39" s="2" t="s">
        <v>33</v>
      </c>
      <c r="F39" s="2" t="s">
        <v>10</v>
      </c>
      <c r="G39" s="2" t="s">
        <v>29</v>
      </c>
      <c r="H39" s="2">
        <v>2</v>
      </c>
      <c r="I39" s="14">
        <v>12000</v>
      </c>
      <c r="J39" s="14">
        <v>24000</v>
      </c>
      <c r="K39" s="22">
        <v>0</v>
      </c>
      <c r="L39" s="14">
        <v>3360</v>
      </c>
      <c r="M39" s="2" t="str">
        <f>TEXT(SalesData[[#This Row],[Order Date]],"mmm")</f>
        <v>May</v>
      </c>
      <c r="N39" s="2" t="str">
        <f>TEXT(SalesData[[#This Row],[Order Date]],"yyyy-mm")</f>
        <v>2026-05</v>
      </c>
    </row>
    <row r="40" spans="1:14" x14ac:dyDescent="0.3">
      <c r="A40" s="2" t="s">
        <v>81</v>
      </c>
      <c r="B40" s="21">
        <v>46072</v>
      </c>
      <c r="C40" s="2" t="s">
        <v>62</v>
      </c>
      <c r="D40" s="2" t="s">
        <v>32</v>
      </c>
      <c r="E40" s="2" t="s">
        <v>33</v>
      </c>
      <c r="F40" s="2" t="s">
        <v>10</v>
      </c>
      <c r="G40" s="2" t="s">
        <v>26</v>
      </c>
      <c r="H40" s="2">
        <v>6</v>
      </c>
      <c r="I40" s="14">
        <v>4500</v>
      </c>
      <c r="J40" s="14">
        <v>24300</v>
      </c>
      <c r="K40" s="22">
        <v>0.1</v>
      </c>
      <c r="L40" s="14">
        <v>6075</v>
      </c>
      <c r="M40" s="2" t="str">
        <f>TEXT(SalesData[[#This Row],[Order Date]],"mmm")</f>
        <v>Feb</v>
      </c>
      <c r="N40" s="2" t="str">
        <f>TEXT(SalesData[[#This Row],[Order Date]],"yyyy-mm")</f>
        <v>2026-02</v>
      </c>
    </row>
    <row r="41" spans="1:14" x14ac:dyDescent="0.3">
      <c r="A41" s="2" t="s">
        <v>82</v>
      </c>
      <c r="B41" s="21">
        <v>46066</v>
      </c>
      <c r="C41" s="2" t="s">
        <v>46</v>
      </c>
      <c r="D41" s="2" t="s">
        <v>8</v>
      </c>
      <c r="E41" s="2" t="s">
        <v>9</v>
      </c>
      <c r="F41" s="2" t="s">
        <v>12</v>
      </c>
      <c r="G41" s="2" t="s">
        <v>49</v>
      </c>
      <c r="H41" s="2">
        <v>6</v>
      </c>
      <c r="I41" s="14">
        <v>85000</v>
      </c>
      <c r="J41" s="14">
        <v>510000</v>
      </c>
      <c r="K41" s="22">
        <v>0</v>
      </c>
      <c r="L41" s="14">
        <v>86700</v>
      </c>
      <c r="M41" s="2" t="str">
        <f>TEXT(SalesData[[#This Row],[Order Date]],"mmm")</f>
        <v>Feb</v>
      </c>
      <c r="N41" s="2" t="str">
        <f>TEXT(SalesData[[#This Row],[Order Date]],"yyyy-mm")</f>
        <v>2026-02</v>
      </c>
    </row>
    <row r="42" spans="1:14" x14ac:dyDescent="0.3">
      <c r="A42" s="2" t="s">
        <v>83</v>
      </c>
      <c r="B42" s="21">
        <v>46122</v>
      </c>
      <c r="C42" s="2" t="s">
        <v>19</v>
      </c>
      <c r="D42" s="2" t="s">
        <v>59</v>
      </c>
      <c r="E42" s="2" t="s">
        <v>9</v>
      </c>
      <c r="F42" s="2" t="s">
        <v>13</v>
      </c>
      <c r="G42" s="2" t="s">
        <v>22</v>
      </c>
      <c r="H42" s="2">
        <v>4</v>
      </c>
      <c r="I42" s="14">
        <v>8500</v>
      </c>
      <c r="J42" s="14">
        <v>32300</v>
      </c>
      <c r="K42" s="22">
        <v>0.05</v>
      </c>
      <c r="L42" s="14">
        <v>7429</v>
      </c>
      <c r="M42" s="2" t="str">
        <f>TEXT(SalesData[[#This Row],[Order Date]],"mmm")</f>
        <v>Apr</v>
      </c>
      <c r="N42" s="2" t="str">
        <f>TEXT(SalesData[[#This Row],[Order Date]],"yyyy-mm")</f>
        <v>2026-04</v>
      </c>
    </row>
    <row r="43" spans="1:14" x14ac:dyDescent="0.3">
      <c r="A43" s="2" t="s">
        <v>84</v>
      </c>
      <c r="B43" s="21">
        <v>46181</v>
      </c>
      <c r="C43" s="2" t="s">
        <v>46</v>
      </c>
      <c r="D43" s="2" t="s">
        <v>59</v>
      </c>
      <c r="E43" s="2" t="s">
        <v>9</v>
      </c>
      <c r="F43" s="2" t="s">
        <v>12</v>
      </c>
      <c r="G43" s="2" t="s">
        <v>34</v>
      </c>
      <c r="H43" s="2">
        <v>5</v>
      </c>
      <c r="I43" s="14">
        <v>8500</v>
      </c>
      <c r="J43" s="14">
        <v>40375</v>
      </c>
      <c r="K43" s="22">
        <v>0.05</v>
      </c>
      <c r="L43" s="14">
        <v>4441.25</v>
      </c>
      <c r="M43" s="2" t="str">
        <f>TEXT(SalesData[[#This Row],[Order Date]],"mmm")</f>
        <v>Jun</v>
      </c>
      <c r="N43" s="2" t="str">
        <f>TEXT(SalesData[[#This Row],[Order Date]],"yyyy-mm")</f>
        <v>2026-06</v>
      </c>
    </row>
    <row r="44" spans="1:14" x14ac:dyDescent="0.3">
      <c r="A44" s="2" t="s">
        <v>85</v>
      </c>
      <c r="B44" s="21">
        <v>46025</v>
      </c>
      <c r="C44" s="2" t="s">
        <v>40</v>
      </c>
      <c r="D44" s="2" t="s">
        <v>41</v>
      </c>
      <c r="E44" s="2" t="s">
        <v>11</v>
      </c>
      <c r="F44" s="2" t="s">
        <v>21</v>
      </c>
      <c r="G44" s="2" t="s">
        <v>49</v>
      </c>
      <c r="H44" s="2">
        <v>4</v>
      </c>
      <c r="I44" s="14">
        <v>18000</v>
      </c>
      <c r="J44" s="14">
        <v>72000</v>
      </c>
      <c r="K44" s="22">
        <v>0</v>
      </c>
      <c r="L44" s="14">
        <v>9360</v>
      </c>
      <c r="M44" s="2" t="str">
        <f>TEXT(SalesData[[#This Row],[Order Date]],"mmm")</f>
        <v>Jan</v>
      </c>
      <c r="N44" s="2" t="str">
        <f>TEXT(SalesData[[#This Row],[Order Date]],"yyyy-mm")</f>
        <v>2026-01</v>
      </c>
    </row>
    <row r="45" spans="1:14" x14ac:dyDescent="0.3">
      <c r="A45" s="2" t="s">
        <v>86</v>
      </c>
      <c r="B45" s="21">
        <v>46069</v>
      </c>
      <c r="C45" s="2" t="s">
        <v>46</v>
      </c>
      <c r="D45" s="2" t="s">
        <v>25</v>
      </c>
      <c r="E45" s="2" t="s">
        <v>11</v>
      </c>
      <c r="F45" s="2" t="s">
        <v>10</v>
      </c>
      <c r="G45" s="2" t="s">
        <v>34</v>
      </c>
      <c r="H45" s="2">
        <v>5</v>
      </c>
      <c r="I45" s="14">
        <v>22000</v>
      </c>
      <c r="J45" s="14">
        <v>104500</v>
      </c>
      <c r="K45" s="22">
        <v>0.05</v>
      </c>
      <c r="L45" s="14">
        <v>26125</v>
      </c>
      <c r="M45" s="2" t="str">
        <f>TEXT(SalesData[[#This Row],[Order Date]],"mmm")</f>
        <v>Feb</v>
      </c>
      <c r="N45" s="2" t="str">
        <f>TEXT(SalesData[[#This Row],[Order Date]],"yyyy-mm")</f>
        <v>2026-02</v>
      </c>
    </row>
    <row r="46" spans="1:14" x14ac:dyDescent="0.3">
      <c r="A46" s="2" t="s">
        <v>87</v>
      </c>
      <c r="B46" s="21">
        <v>46172</v>
      </c>
      <c r="C46" s="2" t="s">
        <v>62</v>
      </c>
      <c r="D46" s="2" t="s">
        <v>48</v>
      </c>
      <c r="E46" s="2" t="s">
        <v>9</v>
      </c>
      <c r="F46" s="2" t="s">
        <v>13</v>
      </c>
      <c r="G46" s="2" t="s">
        <v>34</v>
      </c>
      <c r="H46" s="2">
        <v>1</v>
      </c>
      <c r="I46" s="14">
        <v>55000</v>
      </c>
      <c r="J46" s="14">
        <v>46750</v>
      </c>
      <c r="K46" s="22">
        <v>0.15</v>
      </c>
      <c r="L46" s="14">
        <v>4675</v>
      </c>
      <c r="M46" s="2" t="str">
        <f>TEXT(SalesData[[#This Row],[Order Date]],"mmm")</f>
        <v>May</v>
      </c>
      <c r="N46" s="2" t="str">
        <f>TEXT(SalesData[[#This Row],[Order Date]],"yyyy-mm")</f>
        <v>2026-05</v>
      </c>
    </row>
    <row r="47" spans="1:14" x14ac:dyDescent="0.3">
      <c r="A47" s="2" t="s">
        <v>88</v>
      </c>
      <c r="B47" s="21">
        <v>46075</v>
      </c>
      <c r="C47" s="2" t="s">
        <v>19</v>
      </c>
      <c r="D47" s="2" t="s">
        <v>38</v>
      </c>
      <c r="E47" s="2" t="s">
        <v>33</v>
      </c>
      <c r="F47" s="2" t="s">
        <v>12</v>
      </c>
      <c r="G47" s="2" t="s">
        <v>34</v>
      </c>
      <c r="H47" s="2">
        <v>3</v>
      </c>
      <c r="I47" s="14">
        <v>12000</v>
      </c>
      <c r="J47" s="14">
        <v>32400</v>
      </c>
      <c r="K47" s="22">
        <v>0.1</v>
      </c>
      <c r="L47" s="14">
        <v>5184</v>
      </c>
      <c r="M47" s="2" t="str">
        <f>TEXT(SalesData[[#This Row],[Order Date]],"mmm")</f>
        <v>Feb</v>
      </c>
      <c r="N47" s="2" t="str">
        <f>TEXT(SalesData[[#This Row],[Order Date]],"yyyy-mm")</f>
        <v>2026-02</v>
      </c>
    </row>
    <row r="48" spans="1:14" x14ac:dyDescent="0.3">
      <c r="A48" s="2" t="s">
        <v>89</v>
      </c>
      <c r="B48" s="21">
        <v>46044</v>
      </c>
      <c r="C48" s="2" t="s">
        <v>40</v>
      </c>
      <c r="D48" s="2" t="s">
        <v>48</v>
      </c>
      <c r="E48" s="2" t="s">
        <v>9</v>
      </c>
      <c r="F48" s="2" t="s">
        <v>13</v>
      </c>
      <c r="G48" s="2" t="s">
        <v>29</v>
      </c>
      <c r="H48" s="2">
        <v>7</v>
      </c>
      <c r="I48" s="14">
        <v>55000</v>
      </c>
      <c r="J48" s="14">
        <v>327250</v>
      </c>
      <c r="K48" s="22">
        <v>0.15</v>
      </c>
      <c r="L48" s="14">
        <v>65450</v>
      </c>
      <c r="M48" s="2" t="str">
        <f>TEXT(SalesData[[#This Row],[Order Date]],"mmm")</f>
        <v>Jan</v>
      </c>
      <c r="N48" s="2" t="str">
        <f>TEXT(SalesData[[#This Row],[Order Date]],"yyyy-mm")</f>
        <v>2026-01</v>
      </c>
    </row>
    <row r="49" spans="1:14" x14ac:dyDescent="0.3">
      <c r="A49" s="2" t="s">
        <v>90</v>
      </c>
      <c r="B49" s="21">
        <v>46042</v>
      </c>
      <c r="C49" s="2" t="s">
        <v>19</v>
      </c>
      <c r="D49" s="2" t="s">
        <v>8</v>
      </c>
      <c r="E49" s="2" t="s">
        <v>9</v>
      </c>
      <c r="F49" s="2" t="s">
        <v>10</v>
      </c>
      <c r="G49" s="2" t="s">
        <v>22</v>
      </c>
      <c r="H49" s="2">
        <v>2</v>
      </c>
      <c r="I49" s="14">
        <v>85000</v>
      </c>
      <c r="J49" s="14">
        <v>153000</v>
      </c>
      <c r="K49" s="22">
        <v>0.1</v>
      </c>
      <c r="L49" s="14">
        <v>30600</v>
      </c>
      <c r="M49" s="2" t="str">
        <f>TEXT(SalesData[[#This Row],[Order Date]],"mmm")</f>
        <v>Jan</v>
      </c>
      <c r="N49" s="2" t="str">
        <f>TEXT(SalesData[[#This Row],[Order Date]],"yyyy-mm")</f>
        <v>2026-01</v>
      </c>
    </row>
    <row r="50" spans="1:14" x14ac:dyDescent="0.3">
      <c r="A50" s="2" t="s">
        <v>91</v>
      </c>
      <c r="B50" s="21">
        <v>46142</v>
      </c>
      <c r="C50" s="2" t="s">
        <v>37</v>
      </c>
      <c r="D50" s="2" t="s">
        <v>38</v>
      </c>
      <c r="E50" s="2" t="s">
        <v>33</v>
      </c>
      <c r="F50" s="2" t="s">
        <v>12</v>
      </c>
      <c r="G50" s="2" t="s">
        <v>26</v>
      </c>
      <c r="H50" s="2">
        <v>6</v>
      </c>
      <c r="I50" s="14">
        <v>12000</v>
      </c>
      <c r="J50" s="14">
        <v>61200</v>
      </c>
      <c r="K50" s="22">
        <v>0.15</v>
      </c>
      <c r="L50" s="14">
        <v>8568</v>
      </c>
      <c r="M50" s="2" t="str">
        <f>TEXT(SalesData[[#This Row],[Order Date]],"mmm")</f>
        <v>Apr</v>
      </c>
      <c r="N50" s="2" t="str">
        <f>TEXT(SalesData[[#This Row],[Order Date]],"yyyy-mm")</f>
        <v>2026-04</v>
      </c>
    </row>
    <row r="51" spans="1:14" x14ac:dyDescent="0.3">
      <c r="A51" s="2" t="s">
        <v>92</v>
      </c>
      <c r="B51" s="21">
        <v>46103</v>
      </c>
      <c r="C51" s="2" t="s">
        <v>58</v>
      </c>
      <c r="D51" s="2" t="s">
        <v>48</v>
      </c>
      <c r="E51" s="2" t="s">
        <v>9</v>
      </c>
      <c r="F51" s="2" t="s">
        <v>13</v>
      </c>
      <c r="G51" s="2" t="s">
        <v>22</v>
      </c>
      <c r="H51" s="2">
        <v>5</v>
      </c>
      <c r="I51" s="14">
        <v>55000</v>
      </c>
      <c r="J51" s="14">
        <v>275000</v>
      </c>
      <c r="K51" s="22">
        <v>0</v>
      </c>
      <c r="L51" s="14">
        <v>44000</v>
      </c>
      <c r="M51" s="2" t="str">
        <f>TEXT(SalesData[[#This Row],[Order Date]],"mmm")</f>
        <v>Mar</v>
      </c>
      <c r="N51" s="2" t="str">
        <f>TEXT(SalesData[[#This Row],[Order Date]],"yyyy-mm")</f>
        <v>2026-03</v>
      </c>
    </row>
    <row r="52" spans="1:14" x14ac:dyDescent="0.3">
      <c r="A52" s="2" t="s">
        <v>93</v>
      </c>
      <c r="B52" s="21">
        <v>46179</v>
      </c>
      <c r="C52" s="2" t="s">
        <v>51</v>
      </c>
      <c r="D52" s="2" t="s">
        <v>20</v>
      </c>
      <c r="E52" s="2" t="s">
        <v>11</v>
      </c>
      <c r="F52" s="2" t="s">
        <v>13</v>
      </c>
      <c r="G52" s="2" t="s">
        <v>29</v>
      </c>
      <c r="H52" s="2">
        <v>7</v>
      </c>
      <c r="I52" s="14">
        <v>30000</v>
      </c>
      <c r="J52" s="14">
        <v>178500</v>
      </c>
      <c r="K52" s="22">
        <v>0.15</v>
      </c>
      <c r="L52" s="14">
        <v>26775</v>
      </c>
      <c r="M52" s="2" t="str">
        <f>TEXT(SalesData[[#This Row],[Order Date]],"mmm")</f>
        <v>Jun</v>
      </c>
      <c r="N52" s="2" t="str">
        <f>TEXT(SalesData[[#This Row],[Order Date]],"yyyy-mm")</f>
        <v>2026-06</v>
      </c>
    </row>
    <row r="53" spans="1:14" x14ac:dyDescent="0.3">
      <c r="A53" s="2" t="s">
        <v>94</v>
      </c>
      <c r="B53" s="21">
        <v>46057</v>
      </c>
      <c r="C53" s="2" t="s">
        <v>40</v>
      </c>
      <c r="D53" s="2" t="s">
        <v>41</v>
      </c>
      <c r="E53" s="2" t="s">
        <v>11</v>
      </c>
      <c r="F53" s="2" t="s">
        <v>13</v>
      </c>
      <c r="G53" s="2" t="s">
        <v>49</v>
      </c>
      <c r="H53" s="2">
        <v>7</v>
      </c>
      <c r="I53" s="14">
        <v>18000</v>
      </c>
      <c r="J53" s="14">
        <v>113400</v>
      </c>
      <c r="K53" s="22">
        <v>0.1</v>
      </c>
      <c r="L53" s="14">
        <v>24948</v>
      </c>
      <c r="M53" s="2" t="str">
        <f>TEXT(SalesData[[#This Row],[Order Date]],"mmm")</f>
        <v>Feb</v>
      </c>
      <c r="N53" s="2" t="str">
        <f>TEXT(SalesData[[#This Row],[Order Date]],"yyyy-mm")</f>
        <v>2026-02</v>
      </c>
    </row>
    <row r="54" spans="1:14" x14ac:dyDescent="0.3">
      <c r="A54" s="2" t="s">
        <v>95</v>
      </c>
      <c r="B54" s="21">
        <v>46193</v>
      </c>
      <c r="C54" s="2" t="s">
        <v>28</v>
      </c>
      <c r="D54" s="2" t="s">
        <v>59</v>
      </c>
      <c r="E54" s="2" t="s">
        <v>9</v>
      </c>
      <c r="F54" s="2" t="s">
        <v>21</v>
      </c>
      <c r="G54" s="2" t="s">
        <v>49</v>
      </c>
      <c r="H54" s="2">
        <v>3</v>
      </c>
      <c r="I54" s="14">
        <v>8500</v>
      </c>
      <c r="J54" s="14">
        <v>25500</v>
      </c>
      <c r="K54" s="22">
        <v>0</v>
      </c>
      <c r="L54" s="14">
        <v>5865</v>
      </c>
      <c r="M54" s="2" t="str">
        <f>TEXT(SalesData[[#This Row],[Order Date]],"mmm")</f>
        <v>Jun</v>
      </c>
      <c r="N54" s="2" t="str">
        <f>TEXT(SalesData[[#This Row],[Order Date]],"yyyy-mm")</f>
        <v>2026-06</v>
      </c>
    </row>
    <row r="55" spans="1:14" x14ac:dyDescent="0.3">
      <c r="A55" s="2" t="s">
        <v>96</v>
      </c>
      <c r="B55" s="21">
        <v>46100</v>
      </c>
      <c r="C55" s="2" t="s">
        <v>31</v>
      </c>
      <c r="D55" s="2" t="s">
        <v>20</v>
      </c>
      <c r="E55" s="2" t="s">
        <v>11</v>
      </c>
      <c r="F55" s="2" t="s">
        <v>21</v>
      </c>
      <c r="G55" s="2" t="s">
        <v>49</v>
      </c>
      <c r="H55" s="2">
        <v>7</v>
      </c>
      <c r="I55" s="14">
        <v>30000</v>
      </c>
      <c r="J55" s="14">
        <v>210000</v>
      </c>
      <c r="K55" s="22">
        <v>0</v>
      </c>
      <c r="L55" s="14">
        <v>29400</v>
      </c>
      <c r="M55" s="2" t="str">
        <f>TEXT(SalesData[[#This Row],[Order Date]],"mmm")</f>
        <v>Mar</v>
      </c>
      <c r="N55" s="2" t="str">
        <f>TEXT(SalesData[[#This Row],[Order Date]],"yyyy-mm")</f>
        <v>2026-03</v>
      </c>
    </row>
    <row r="56" spans="1:14" x14ac:dyDescent="0.3">
      <c r="A56" s="2" t="s">
        <v>97</v>
      </c>
      <c r="B56" s="21">
        <v>46202</v>
      </c>
      <c r="C56" s="2" t="s">
        <v>62</v>
      </c>
      <c r="D56" s="2" t="s">
        <v>8</v>
      </c>
      <c r="E56" s="2" t="s">
        <v>9</v>
      </c>
      <c r="F56" s="2" t="s">
        <v>10</v>
      </c>
      <c r="G56" s="2" t="s">
        <v>34</v>
      </c>
      <c r="H56" s="2">
        <v>3</v>
      </c>
      <c r="I56" s="14">
        <v>85000</v>
      </c>
      <c r="J56" s="14">
        <v>229500</v>
      </c>
      <c r="K56" s="22">
        <v>0.1</v>
      </c>
      <c r="L56" s="14">
        <v>27540</v>
      </c>
      <c r="M56" s="2" t="str">
        <f>TEXT(SalesData[[#This Row],[Order Date]],"mmm")</f>
        <v>Jun</v>
      </c>
      <c r="N56" s="2" t="str">
        <f>TEXT(SalesData[[#This Row],[Order Date]],"yyyy-mm")</f>
        <v>2026-06</v>
      </c>
    </row>
    <row r="57" spans="1:14" x14ac:dyDescent="0.3">
      <c r="A57" s="2" t="s">
        <v>98</v>
      </c>
      <c r="B57" s="21">
        <v>46192</v>
      </c>
      <c r="C57" s="2" t="s">
        <v>24</v>
      </c>
      <c r="D57" s="2" t="s">
        <v>20</v>
      </c>
      <c r="E57" s="2" t="s">
        <v>11</v>
      </c>
      <c r="F57" s="2" t="s">
        <v>10</v>
      </c>
      <c r="G57" s="2" t="s">
        <v>49</v>
      </c>
      <c r="H57" s="2">
        <v>6</v>
      </c>
      <c r="I57" s="14">
        <v>30000</v>
      </c>
      <c r="J57" s="14">
        <v>171000</v>
      </c>
      <c r="K57" s="22">
        <v>0.05</v>
      </c>
      <c r="L57" s="14">
        <v>30780</v>
      </c>
      <c r="M57" s="2" t="str">
        <f>TEXT(SalesData[[#This Row],[Order Date]],"mmm")</f>
        <v>Jun</v>
      </c>
      <c r="N57" s="2" t="str">
        <f>TEXT(SalesData[[#This Row],[Order Date]],"yyyy-mm")</f>
        <v>2026-06</v>
      </c>
    </row>
    <row r="58" spans="1:14" x14ac:dyDescent="0.3">
      <c r="A58" s="2" t="s">
        <v>99</v>
      </c>
      <c r="B58" s="21">
        <v>46119</v>
      </c>
      <c r="C58" s="2" t="s">
        <v>62</v>
      </c>
      <c r="D58" s="2" t="s">
        <v>32</v>
      </c>
      <c r="E58" s="2" t="s">
        <v>33</v>
      </c>
      <c r="F58" s="2" t="s">
        <v>13</v>
      </c>
      <c r="G58" s="2" t="s">
        <v>49</v>
      </c>
      <c r="H58" s="2">
        <v>1</v>
      </c>
      <c r="I58" s="14">
        <v>4500</v>
      </c>
      <c r="J58" s="14">
        <v>4275</v>
      </c>
      <c r="K58" s="22">
        <v>0.05</v>
      </c>
      <c r="L58" s="14">
        <v>812.25</v>
      </c>
      <c r="M58" s="2" t="str">
        <f>TEXT(SalesData[[#This Row],[Order Date]],"mmm")</f>
        <v>Apr</v>
      </c>
      <c r="N58" s="2" t="str">
        <f>TEXT(SalesData[[#This Row],[Order Date]],"yyyy-mm")</f>
        <v>2026-04</v>
      </c>
    </row>
    <row r="59" spans="1:14" x14ac:dyDescent="0.3">
      <c r="A59" s="2" t="s">
        <v>100</v>
      </c>
      <c r="B59" s="21">
        <v>46112</v>
      </c>
      <c r="C59" s="2" t="s">
        <v>62</v>
      </c>
      <c r="D59" s="2" t="s">
        <v>20</v>
      </c>
      <c r="E59" s="2" t="s">
        <v>11</v>
      </c>
      <c r="F59" s="2" t="s">
        <v>13</v>
      </c>
      <c r="G59" s="2" t="s">
        <v>26</v>
      </c>
      <c r="H59" s="2">
        <v>2</v>
      </c>
      <c r="I59" s="14">
        <v>30000</v>
      </c>
      <c r="J59" s="14">
        <v>60000</v>
      </c>
      <c r="K59" s="22">
        <v>0</v>
      </c>
      <c r="L59" s="14">
        <v>6600</v>
      </c>
      <c r="M59" s="2" t="str">
        <f>TEXT(SalesData[[#This Row],[Order Date]],"mmm")</f>
        <v>Mar</v>
      </c>
      <c r="N59" s="2" t="str">
        <f>TEXT(SalesData[[#This Row],[Order Date]],"yyyy-mm")</f>
        <v>2026-03</v>
      </c>
    </row>
    <row r="60" spans="1:14" x14ac:dyDescent="0.3">
      <c r="A60" s="2" t="s">
        <v>101</v>
      </c>
      <c r="B60" s="21">
        <v>46168</v>
      </c>
      <c r="C60" s="2" t="s">
        <v>31</v>
      </c>
      <c r="D60" s="2" t="s">
        <v>43</v>
      </c>
      <c r="E60" s="2" t="s">
        <v>33</v>
      </c>
      <c r="F60" s="2" t="s">
        <v>10</v>
      </c>
      <c r="G60" s="2" t="s">
        <v>22</v>
      </c>
      <c r="H60" s="2">
        <v>1</v>
      </c>
      <c r="I60" s="14">
        <v>6500</v>
      </c>
      <c r="J60" s="14">
        <v>5525</v>
      </c>
      <c r="K60" s="22">
        <v>0.15</v>
      </c>
      <c r="L60" s="14">
        <v>994.5</v>
      </c>
      <c r="M60" s="2" t="str">
        <f>TEXT(SalesData[[#This Row],[Order Date]],"mmm")</f>
        <v>May</v>
      </c>
      <c r="N60" s="2" t="str">
        <f>TEXT(SalesData[[#This Row],[Order Date]],"yyyy-mm")</f>
        <v>2026-05</v>
      </c>
    </row>
    <row r="61" spans="1:14" x14ac:dyDescent="0.3">
      <c r="A61" s="2" t="s">
        <v>102</v>
      </c>
      <c r="B61" s="21">
        <v>46054</v>
      </c>
      <c r="C61" s="2" t="s">
        <v>24</v>
      </c>
      <c r="D61" s="2" t="s">
        <v>38</v>
      </c>
      <c r="E61" s="2" t="s">
        <v>33</v>
      </c>
      <c r="F61" s="2" t="s">
        <v>13</v>
      </c>
      <c r="G61" s="2" t="s">
        <v>49</v>
      </c>
      <c r="H61" s="2">
        <v>7</v>
      </c>
      <c r="I61" s="14">
        <v>12000</v>
      </c>
      <c r="J61" s="14">
        <v>71400</v>
      </c>
      <c r="K61" s="22">
        <v>0.15</v>
      </c>
      <c r="L61" s="14">
        <v>9996</v>
      </c>
      <c r="M61" s="2" t="str">
        <f>TEXT(SalesData[[#This Row],[Order Date]],"mmm")</f>
        <v>Feb</v>
      </c>
      <c r="N61" s="2" t="str">
        <f>TEXT(SalesData[[#This Row],[Order Date]],"yyyy-mm")</f>
        <v>2026-02</v>
      </c>
    </row>
    <row r="62" spans="1:14" x14ac:dyDescent="0.3">
      <c r="A62" s="2" t="s">
        <v>103</v>
      </c>
      <c r="B62" s="21">
        <v>46191</v>
      </c>
      <c r="C62" s="2" t="s">
        <v>62</v>
      </c>
      <c r="D62" s="2" t="s">
        <v>59</v>
      </c>
      <c r="E62" s="2" t="s">
        <v>9</v>
      </c>
      <c r="F62" s="2" t="s">
        <v>10</v>
      </c>
      <c r="G62" s="2" t="s">
        <v>34</v>
      </c>
      <c r="H62" s="2">
        <v>3</v>
      </c>
      <c r="I62" s="14">
        <v>8500</v>
      </c>
      <c r="J62" s="14">
        <v>22950</v>
      </c>
      <c r="K62" s="22">
        <v>0.1</v>
      </c>
      <c r="L62" s="14">
        <v>2754</v>
      </c>
      <c r="M62" s="2" t="str">
        <f>TEXT(SalesData[[#This Row],[Order Date]],"mmm")</f>
        <v>Jun</v>
      </c>
      <c r="N62" s="2" t="str">
        <f>TEXT(SalesData[[#This Row],[Order Date]],"yyyy-mm")</f>
        <v>2026-06</v>
      </c>
    </row>
    <row r="63" spans="1:14" x14ac:dyDescent="0.3">
      <c r="A63" s="2" t="s">
        <v>104</v>
      </c>
      <c r="B63" s="21">
        <v>46189</v>
      </c>
      <c r="C63" s="2" t="s">
        <v>40</v>
      </c>
      <c r="D63" s="2" t="s">
        <v>25</v>
      </c>
      <c r="E63" s="2" t="s">
        <v>11</v>
      </c>
      <c r="F63" s="2" t="s">
        <v>21</v>
      </c>
      <c r="G63" s="2" t="s">
        <v>29</v>
      </c>
      <c r="H63" s="2">
        <v>2</v>
      </c>
      <c r="I63" s="14">
        <v>22000</v>
      </c>
      <c r="J63" s="14">
        <v>39600</v>
      </c>
      <c r="K63" s="22">
        <v>0.1</v>
      </c>
      <c r="L63" s="14">
        <v>4356</v>
      </c>
      <c r="M63" s="2" t="str">
        <f>TEXT(SalesData[[#This Row],[Order Date]],"mmm")</f>
        <v>Jun</v>
      </c>
      <c r="N63" s="2" t="str">
        <f>TEXT(SalesData[[#This Row],[Order Date]],"yyyy-mm")</f>
        <v>2026-06</v>
      </c>
    </row>
    <row r="64" spans="1:14" x14ac:dyDescent="0.3">
      <c r="A64" s="2" t="s">
        <v>105</v>
      </c>
      <c r="B64" s="21">
        <v>46032</v>
      </c>
      <c r="C64" s="2" t="s">
        <v>62</v>
      </c>
      <c r="D64" s="2" t="s">
        <v>38</v>
      </c>
      <c r="E64" s="2" t="s">
        <v>33</v>
      </c>
      <c r="F64" s="2" t="s">
        <v>21</v>
      </c>
      <c r="G64" s="2" t="s">
        <v>34</v>
      </c>
      <c r="H64" s="2">
        <v>4</v>
      </c>
      <c r="I64" s="14">
        <v>12000</v>
      </c>
      <c r="J64" s="14">
        <v>48000</v>
      </c>
      <c r="K64" s="22">
        <v>0</v>
      </c>
      <c r="L64" s="14">
        <v>4800</v>
      </c>
      <c r="M64" s="2" t="str">
        <f>TEXT(SalesData[[#This Row],[Order Date]],"mmm")</f>
        <v>Jan</v>
      </c>
      <c r="N64" s="2" t="str">
        <f>TEXT(SalesData[[#This Row],[Order Date]],"yyyy-mm")</f>
        <v>2026-01</v>
      </c>
    </row>
    <row r="65" spans="1:14" x14ac:dyDescent="0.3">
      <c r="A65" s="2" t="s">
        <v>106</v>
      </c>
      <c r="B65" s="21">
        <v>46024</v>
      </c>
      <c r="C65" s="2" t="s">
        <v>19</v>
      </c>
      <c r="D65" s="2" t="s">
        <v>32</v>
      </c>
      <c r="E65" s="2" t="s">
        <v>33</v>
      </c>
      <c r="F65" s="2" t="s">
        <v>10</v>
      </c>
      <c r="G65" s="2" t="s">
        <v>34</v>
      </c>
      <c r="H65" s="2">
        <v>4</v>
      </c>
      <c r="I65" s="14">
        <v>4500</v>
      </c>
      <c r="J65" s="14">
        <v>17100</v>
      </c>
      <c r="K65" s="22">
        <v>0.05</v>
      </c>
      <c r="L65" s="14">
        <v>3933</v>
      </c>
      <c r="M65" s="2" t="str">
        <f>TEXT(SalesData[[#This Row],[Order Date]],"mmm")</f>
        <v>Jan</v>
      </c>
      <c r="N65" s="2" t="str">
        <f>TEXT(SalesData[[#This Row],[Order Date]],"yyyy-mm")</f>
        <v>2026-01</v>
      </c>
    </row>
    <row r="66" spans="1:14" x14ac:dyDescent="0.3">
      <c r="A66" s="2" t="s">
        <v>107</v>
      </c>
      <c r="B66" s="21">
        <v>46167</v>
      </c>
      <c r="C66" s="2" t="s">
        <v>51</v>
      </c>
      <c r="D66" s="2" t="s">
        <v>8</v>
      </c>
      <c r="E66" s="2" t="s">
        <v>9</v>
      </c>
      <c r="F66" s="2" t="s">
        <v>10</v>
      </c>
      <c r="G66" s="2" t="s">
        <v>22</v>
      </c>
      <c r="H66" s="2">
        <v>6</v>
      </c>
      <c r="I66" s="14">
        <v>85000</v>
      </c>
      <c r="J66" s="14">
        <v>433500</v>
      </c>
      <c r="K66" s="22">
        <v>0.15</v>
      </c>
      <c r="L66" s="14">
        <v>91035</v>
      </c>
      <c r="M66" s="2" t="str">
        <f>TEXT(SalesData[[#This Row],[Order Date]],"mmm")</f>
        <v>May</v>
      </c>
      <c r="N66" s="2" t="str">
        <f>TEXT(SalesData[[#This Row],[Order Date]],"yyyy-mm")</f>
        <v>2026-05</v>
      </c>
    </row>
    <row r="67" spans="1:14" x14ac:dyDescent="0.3">
      <c r="A67" s="2" t="s">
        <v>108</v>
      </c>
      <c r="B67" s="21">
        <v>46051</v>
      </c>
      <c r="C67" s="2" t="s">
        <v>37</v>
      </c>
      <c r="D67" s="2" t="s">
        <v>25</v>
      </c>
      <c r="E67" s="2" t="s">
        <v>11</v>
      </c>
      <c r="F67" s="2" t="s">
        <v>13</v>
      </c>
      <c r="G67" s="2" t="s">
        <v>22</v>
      </c>
      <c r="H67" s="2">
        <v>2</v>
      </c>
      <c r="I67" s="14">
        <v>22000</v>
      </c>
      <c r="J67" s="14">
        <v>37400</v>
      </c>
      <c r="K67" s="22">
        <v>0.15</v>
      </c>
      <c r="L67" s="14">
        <v>5610</v>
      </c>
      <c r="M67" s="2" t="str">
        <f>TEXT(SalesData[[#This Row],[Order Date]],"mmm")</f>
        <v>Jan</v>
      </c>
      <c r="N67" s="2" t="str">
        <f>TEXT(SalesData[[#This Row],[Order Date]],"yyyy-mm")</f>
        <v>2026-01</v>
      </c>
    </row>
    <row r="68" spans="1:14" x14ac:dyDescent="0.3">
      <c r="A68" s="2" t="s">
        <v>109</v>
      </c>
      <c r="B68" s="21">
        <v>46034</v>
      </c>
      <c r="C68" s="2" t="s">
        <v>62</v>
      </c>
      <c r="D68" s="2" t="s">
        <v>25</v>
      </c>
      <c r="E68" s="2" t="s">
        <v>11</v>
      </c>
      <c r="F68" s="2" t="s">
        <v>10</v>
      </c>
      <c r="G68" s="2" t="s">
        <v>29</v>
      </c>
      <c r="H68" s="2">
        <v>3</v>
      </c>
      <c r="I68" s="14">
        <v>22000</v>
      </c>
      <c r="J68" s="14">
        <v>59400</v>
      </c>
      <c r="K68" s="22">
        <v>0.1</v>
      </c>
      <c r="L68" s="14">
        <v>13068</v>
      </c>
      <c r="M68" s="2" t="str">
        <f>TEXT(SalesData[[#This Row],[Order Date]],"mmm")</f>
        <v>Jan</v>
      </c>
      <c r="N68" s="2" t="str">
        <f>TEXT(SalesData[[#This Row],[Order Date]],"yyyy-mm")</f>
        <v>2026-01</v>
      </c>
    </row>
    <row r="69" spans="1:14" x14ac:dyDescent="0.3">
      <c r="A69" s="2" t="s">
        <v>110</v>
      </c>
      <c r="B69" s="21">
        <v>46106</v>
      </c>
      <c r="C69" s="2" t="s">
        <v>19</v>
      </c>
      <c r="D69" s="2" t="s">
        <v>43</v>
      </c>
      <c r="E69" s="2" t="s">
        <v>33</v>
      </c>
      <c r="F69" s="2" t="s">
        <v>12</v>
      </c>
      <c r="G69" s="2" t="s">
        <v>26</v>
      </c>
      <c r="H69" s="2">
        <v>1</v>
      </c>
      <c r="I69" s="14">
        <v>6500</v>
      </c>
      <c r="J69" s="14">
        <v>6500</v>
      </c>
      <c r="K69" s="22">
        <v>0</v>
      </c>
      <c r="L69" s="14">
        <v>715</v>
      </c>
      <c r="M69" s="2" t="str">
        <f>TEXT(SalesData[[#This Row],[Order Date]],"mmm")</f>
        <v>Mar</v>
      </c>
      <c r="N69" s="2" t="str">
        <f>TEXT(SalesData[[#This Row],[Order Date]],"yyyy-mm")</f>
        <v>2026-03</v>
      </c>
    </row>
    <row r="70" spans="1:14" x14ac:dyDescent="0.3">
      <c r="A70" s="2" t="s">
        <v>111</v>
      </c>
      <c r="B70" s="21">
        <v>46044</v>
      </c>
      <c r="C70" s="2" t="s">
        <v>28</v>
      </c>
      <c r="D70" s="2" t="s">
        <v>41</v>
      </c>
      <c r="E70" s="2" t="s">
        <v>11</v>
      </c>
      <c r="F70" s="2" t="s">
        <v>13</v>
      </c>
      <c r="G70" s="2" t="s">
        <v>34</v>
      </c>
      <c r="H70" s="2">
        <v>6</v>
      </c>
      <c r="I70" s="14">
        <v>18000</v>
      </c>
      <c r="J70" s="14">
        <v>108000</v>
      </c>
      <c r="K70" s="22">
        <v>0</v>
      </c>
      <c r="L70" s="14">
        <v>21600</v>
      </c>
      <c r="M70" s="2" t="str">
        <f>TEXT(SalesData[[#This Row],[Order Date]],"mmm")</f>
        <v>Jan</v>
      </c>
      <c r="N70" s="2" t="str">
        <f>TEXT(SalesData[[#This Row],[Order Date]],"yyyy-mm")</f>
        <v>2026-01</v>
      </c>
    </row>
    <row r="71" spans="1:14" x14ac:dyDescent="0.3">
      <c r="A71" s="2" t="s">
        <v>112</v>
      </c>
      <c r="B71" s="21">
        <v>46069</v>
      </c>
      <c r="C71" s="2" t="s">
        <v>58</v>
      </c>
      <c r="D71" s="2" t="s">
        <v>41</v>
      </c>
      <c r="E71" s="2" t="s">
        <v>11</v>
      </c>
      <c r="F71" s="2" t="s">
        <v>10</v>
      </c>
      <c r="G71" s="2" t="s">
        <v>34</v>
      </c>
      <c r="H71" s="2">
        <v>7</v>
      </c>
      <c r="I71" s="14">
        <v>18000</v>
      </c>
      <c r="J71" s="14">
        <v>119700</v>
      </c>
      <c r="K71" s="22">
        <v>0.05</v>
      </c>
      <c r="L71" s="14">
        <v>29925</v>
      </c>
      <c r="M71" s="2" t="str">
        <f>TEXT(SalesData[[#This Row],[Order Date]],"mmm")</f>
        <v>Feb</v>
      </c>
      <c r="N71" s="2" t="str">
        <f>TEXT(SalesData[[#This Row],[Order Date]],"yyyy-mm")</f>
        <v>2026-02</v>
      </c>
    </row>
    <row r="72" spans="1:14" x14ac:dyDescent="0.3">
      <c r="A72" s="2" t="s">
        <v>113</v>
      </c>
      <c r="B72" s="21">
        <v>46123</v>
      </c>
      <c r="C72" s="2" t="s">
        <v>51</v>
      </c>
      <c r="D72" s="2" t="s">
        <v>25</v>
      </c>
      <c r="E72" s="2" t="s">
        <v>11</v>
      </c>
      <c r="F72" s="2" t="s">
        <v>10</v>
      </c>
      <c r="G72" s="2" t="s">
        <v>22</v>
      </c>
      <c r="H72" s="2">
        <v>7</v>
      </c>
      <c r="I72" s="14">
        <v>22000</v>
      </c>
      <c r="J72" s="14">
        <v>130900</v>
      </c>
      <c r="K72" s="22">
        <v>0.15</v>
      </c>
      <c r="L72" s="14">
        <v>15708</v>
      </c>
      <c r="M72" s="2" t="str">
        <f>TEXT(SalesData[[#This Row],[Order Date]],"mmm")</f>
        <v>Apr</v>
      </c>
      <c r="N72" s="2" t="str">
        <f>TEXT(SalesData[[#This Row],[Order Date]],"yyyy-mm")</f>
        <v>2026-04</v>
      </c>
    </row>
    <row r="73" spans="1:14" x14ac:dyDescent="0.3">
      <c r="A73" s="2" t="s">
        <v>114</v>
      </c>
      <c r="B73" s="21">
        <v>46044</v>
      </c>
      <c r="C73" s="2" t="s">
        <v>28</v>
      </c>
      <c r="D73" s="2" t="s">
        <v>8</v>
      </c>
      <c r="E73" s="2" t="s">
        <v>9</v>
      </c>
      <c r="F73" s="2" t="s">
        <v>10</v>
      </c>
      <c r="G73" s="2" t="s">
        <v>29</v>
      </c>
      <c r="H73" s="2">
        <v>2</v>
      </c>
      <c r="I73" s="14">
        <v>85000</v>
      </c>
      <c r="J73" s="14">
        <v>170000</v>
      </c>
      <c r="K73" s="22">
        <v>0</v>
      </c>
      <c r="L73" s="14">
        <v>42500</v>
      </c>
      <c r="M73" s="2" t="str">
        <f>TEXT(SalesData[[#This Row],[Order Date]],"mmm")</f>
        <v>Jan</v>
      </c>
      <c r="N73" s="2" t="str">
        <f>TEXT(SalesData[[#This Row],[Order Date]],"yyyy-mm")</f>
        <v>2026-01</v>
      </c>
    </row>
    <row r="74" spans="1:14" x14ac:dyDescent="0.3">
      <c r="A74" s="2" t="s">
        <v>115</v>
      </c>
      <c r="B74" s="21">
        <v>46138</v>
      </c>
      <c r="C74" s="2" t="s">
        <v>51</v>
      </c>
      <c r="D74" s="2" t="s">
        <v>41</v>
      </c>
      <c r="E74" s="2" t="s">
        <v>11</v>
      </c>
      <c r="F74" s="2" t="s">
        <v>12</v>
      </c>
      <c r="G74" s="2" t="s">
        <v>29</v>
      </c>
      <c r="H74" s="2">
        <v>7</v>
      </c>
      <c r="I74" s="14">
        <v>18000</v>
      </c>
      <c r="J74" s="14">
        <v>113400</v>
      </c>
      <c r="K74" s="22">
        <v>0.1</v>
      </c>
      <c r="L74" s="14">
        <v>11340</v>
      </c>
      <c r="M74" s="2" t="str">
        <f>TEXT(SalesData[[#This Row],[Order Date]],"mmm")</f>
        <v>Apr</v>
      </c>
      <c r="N74" s="2" t="str">
        <f>TEXT(SalesData[[#This Row],[Order Date]],"yyyy-mm")</f>
        <v>2026-04</v>
      </c>
    </row>
    <row r="75" spans="1:14" x14ac:dyDescent="0.3">
      <c r="A75" s="2" t="s">
        <v>116</v>
      </c>
      <c r="B75" s="21">
        <v>46066</v>
      </c>
      <c r="C75" s="2" t="s">
        <v>46</v>
      </c>
      <c r="D75" s="2" t="s">
        <v>59</v>
      </c>
      <c r="E75" s="2" t="s">
        <v>9</v>
      </c>
      <c r="F75" s="2" t="s">
        <v>21</v>
      </c>
      <c r="G75" s="2" t="s">
        <v>29</v>
      </c>
      <c r="H75" s="2">
        <v>1</v>
      </c>
      <c r="I75" s="14">
        <v>8500</v>
      </c>
      <c r="J75" s="14">
        <v>7650</v>
      </c>
      <c r="K75" s="22">
        <v>0.1</v>
      </c>
      <c r="L75" s="14">
        <v>1606.5</v>
      </c>
      <c r="M75" s="2" t="str">
        <f>TEXT(SalesData[[#This Row],[Order Date]],"mmm")</f>
        <v>Feb</v>
      </c>
      <c r="N75" s="2" t="str">
        <f>TEXT(SalesData[[#This Row],[Order Date]],"yyyy-mm")</f>
        <v>2026-02</v>
      </c>
    </row>
    <row r="76" spans="1:14" x14ac:dyDescent="0.3">
      <c r="A76" s="2" t="s">
        <v>117</v>
      </c>
      <c r="B76" s="21">
        <v>46159</v>
      </c>
      <c r="C76" s="2" t="s">
        <v>46</v>
      </c>
      <c r="D76" s="2" t="s">
        <v>59</v>
      </c>
      <c r="E76" s="2" t="s">
        <v>9</v>
      </c>
      <c r="F76" s="2" t="s">
        <v>10</v>
      </c>
      <c r="G76" s="2" t="s">
        <v>29</v>
      </c>
      <c r="H76" s="2">
        <v>3</v>
      </c>
      <c r="I76" s="14">
        <v>8500</v>
      </c>
      <c r="J76" s="14">
        <v>24225</v>
      </c>
      <c r="K76" s="22">
        <v>0.05</v>
      </c>
      <c r="L76" s="14">
        <v>4360.5</v>
      </c>
      <c r="M76" s="2" t="str">
        <f>TEXT(SalesData[[#This Row],[Order Date]],"mmm")</f>
        <v>May</v>
      </c>
      <c r="N76" s="2" t="str">
        <f>TEXT(SalesData[[#This Row],[Order Date]],"yyyy-mm")</f>
        <v>2026-05</v>
      </c>
    </row>
    <row r="77" spans="1:14" x14ac:dyDescent="0.3">
      <c r="A77" s="2" t="s">
        <v>118</v>
      </c>
      <c r="B77" s="21">
        <v>46079</v>
      </c>
      <c r="C77" s="2" t="s">
        <v>37</v>
      </c>
      <c r="D77" s="2" t="s">
        <v>43</v>
      </c>
      <c r="E77" s="2" t="s">
        <v>33</v>
      </c>
      <c r="F77" s="2" t="s">
        <v>13</v>
      </c>
      <c r="G77" s="2" t="s">
        <v>26</v>
      </c>
      <c r="H77" s="2">
        <v>4</v>
      </c>
      <c r="I77" s="14">
        <v>6500</v>
      </c>
      <c r="J77" s="14">
        <v>22100</v>
      </c>
      <c r="K77" s="22">
        <v>0.15</v>
      </c>
      <c r="L77" s="14">
        <v>4420</v>
      </c>
      <c r="M77" s="2" t="str">
        <f>TEXT(SalesData[[#This Row],[Order Date]],"mmm")</f>
        <v>Feb</v>
      </c>
      <c r="N77" s="2" t="str">
        <f>TEXT(SalesData[[#This Row],[Order Date]],"yyyy-mm")</f>
        <v>2026-02</v>
      </c>
    </row>
    <row r="78" spans="1:14" x14ac:dyDescent="0.3">
      <c r="A78" s="2" t="s">
        <v>119</v>
      </c>
      <c r="B78" s="21">
        <v>46097</v>
      </c>
      <c r="C78" s="2" t="s">
        <v>28</v>
      </c>
      <c r="D78" s="2" t="s">
        <v>8</v>
      </c>
      <c r="E78" s="2" t="s">
        <v>9</v>
      </c>
      <c r="F78" s="2" t="s">
        <v>13</v>
      </c>
      <c r="G78" s="2" t="s">
        <v>29</v>
      </c>
      <c r="H78" s="2">
        <v>7</v>
      </c>
      <c r="I78" s="14">
        <v>85000</v>
      </c>
      <c r="J78" s="14">
        <v>595000</v>
      </c>
      <c r="K78" s="22">
        <v>0</v>
      </c>
      <c r="L78" s="14">
        <v>71400</v>
      </c>
      <c r="M78" s="2" t="str">
        <f>TEXT(SalesData[[#This Row],[Order Date]],"mmm")</f>
        <v>Mar</v>
      </c>
      <c r="N78" s="2" t="str">
        <f>TEXT(SalesData[[#This Row],[Order Date]],"yyyy-mm")</f>
        <v>2026-03</v>
      </c>
    </row>
    <row r="79" spans="1:14" x14ac:dyDescent="0.3">
      <c r="A79" s="2" t="s">
        <v>120</v>
      </c>
      <c r="B79" s="21">
        <v>46111</v>
      </c>
      <c r="C79" s="2" t="s">
        <v>37</v>
      </c>
      <c r="D79" s="2" t="s">
        <v>32</v>
      </c>
      <c r="E79" s="2" t="s">
        <v>33</v>
      </c>
      <c r="F79" s="2" t="s">
        <v>10</v>
      </c>
      <c r="G79" s="2" t="s">
        <v>49</v>
      </c>
      <c r="H79" s="2">
        <v>1</v>
      </c>
      <c r="I79" s="14">
        <v>4500</v>
      </c>
      <c r="J79" s="14">
        <v>4500</v>
      </c>
      <c r="K79" s="22">
        <v>0</v>
      </c>
      <c r="L79" s="14">
        <v>360</v>
      </c>
      <c r="M79" s="2" t="str">
        <f>TEXT(SalesData[[#This Row],[Order Date]],"mmm")</f>
        <v>Mar</v>
      </c>
      <c r="N79" s="2" t="str">
        <f>TEXT(SalesData[[#This Row],[Order Date]],"yyyy-mm")</f>
        <v>2026-03</v>
      </c>
    </row>
    <row r="80" spans="1:14" x14ac:dyDescent="0.3">
      <c r="A80" s="2" t="s">
        <v>121</v>
      </c>
      <c r="B80" s="21">
        <v>46150</v>
      </c>
      <c r="C80" s="2" t="s">
        <v>24</v>
      </c>
      <c r="D80" s="2" t="s">
        <v>43</v>
      </c>
      <c r="E80" s="2" t="s">
        <v>33</v>
      </c>
      <c r="F80" s="2" t="s">
        <v>21</v>
      </c>
      <c r="G80" s="2" t="s">
        <v>34</v>
      </c>
      <c r="H80" s="2">
        <v>7</v>
      </c>
      <c r="I80" s="14">
        <v>6500</v>
      </c>
      <c r="J80" s="14">
        <v>38675</v>
      </c>
      <c r="K80" s="22">
        <v>0.15</v>
      </c>
      <c r="L80" s="14">
        <v>7348.25</v>
      </c>
      <c r="M80" s="2" t="str">
        <f>TEXT(SalesData[[#This Row],[Order Date]],"mmm")</f>
        <v>May</v>
      </c>
      <c r="N80" s="2" t="str">
        <f>TEXT(SalesData[[#This Row],[Order Date]],"yyyy-mm")</f>
        <v>2026-05</v>
      </c>
    </row>
    <row r="81" spans="1:14" x14ac:dyDescent="0.3">
      <c r="A81" s="2" t="s">
        <v>122</v>
      </c>
      <c r="B81" s="21">
        <v>46189</v>
      </c>
      <c r="C81" s="2" t="s">
        <v>37</v>
      </c>
      <c r="D81" s="2" t="s">
        <v>32</v>
      </c>
      <c r="E81" s="2" t="s">
        <v>33</v>
      </c>
      <c r="F81" s="2" t="s">
        <v>12</v>
      </c>
      <c r="G81" s="2" t="s">
        <v>26</v>
      </c>
      <c r="H81" s="2">
        <v>4</v>
      </c>
      <c r="I81" s="14">
        <v>4500</v>
      </c>
      <c r="J81" s="14">
        <v>16200</v>
      </c>
      <c r="K81" s="22">
        <v>0.1</v>
      </c>
      <c r="L81" s="14">
        <v>3564</v>
      </c>
      <c r="M81" s="2" t="str">
        <f>TEXT(SalesData[[#This Row],[Order Date]],"mmm")</f>
        <v>Jun</v>
      </c>
      <c r="N81" s="2" t="str">
        <f>TEXT(SalesData[[#This Row],[Order Date]],"yyyy-mm")</f>
        <v>2026-06</v>
      </c>
    </row>
    <row r="82" spans="1:14" x14ac:dyDescent="0.3">
      <c r="A82" s="2" t="s">
        <v>123</v>
      </c>
      <c r="B82" s="21">
        <v>46174</v>
      </c>
      <c r="C82" s="2" t="s">
        <v>24</v>
      </c>
      <c r="D82" s="2" t="s">
        <v>20</v>
      </c>
      <c r="E82" s="2" t="s">
        <v>11</v>
      </c>
      <c r="F82" s="2" t="s">
        <v>12</v>
      </c>
      <c r="G82" s="2" t="s">
        <v>26</v>
      </c>
      <c r="H82" s="2">
        <v>6</v>
      </c>
      <c r="I82" s="14">
        <v>30000</v>
      </c>
      <c r="J82" s="14">
        <v>153000</v>
      </c>
      <c r="K82" s="22">
        <v>0.15</v>
      </c>
      <c r="L82" s="14">
        <v>21420</v>
      </c>
      <c r="M82" s="2" t="str">
        <f>TEXT(SalesData[[#This Row],[Order Date]],"mmm")</f>
        <v>Jun</v>
      </c>
      <c r="N82" s="2" t="str">
        <f>TEXT(SalesData[[#This Row],[Order Date]],"yyyy-mm")</f>
        <v>2026-06</v>
      </c>
    </row>
    <row r="83" spans="1:14" x14ac:dyDescent="0.3">
      <c r="A83" s="2" t="s">
        <v>124</v>
      </c>
      <c r="B83" s="21">
        <v>46185</v>
      </c>
      <c r="C83" s="2" t="s">
        <v>37</v>
      </c>
      <c r="D83" s="2" t="s">
        <v>43</v>
      </c>
      <c r="E83" s="2" t="s">
        <v>33</v>
      </c>
      <c r="F83" s="2" t="s">
        <v>21</v>
      </c>
      <c r="G83" s="2" t="s">
        <v>34</v>
      </c>
      <c r="H83" s="2">
        <v>5</v>
      </c>
      <c r="I83" s="14">
        <v>6500</v>
      </c>
      <c r="J83" s="14">
        <v>27625</v>
      </c>
      <c r="K83" s="22">
        <v>0.15</v>
      </c>
      <c r="L83" s="14">
        <v>6630</v>
      </c>
      <c r="M83" s="2" t="str">
        <f>TEXT(SalesData[[#This Row],[Order Date]],"mmm")</f>
        <v>Jun</v>
      </c>
      <c r="N83" s="2" t="str">
        <f>TEXT(SalesData[[#This Row],[Order Date]],"yyyy-mm")</f>
        <v>2026-06</v>
      </c>
    </row>
    <row r="84" spans="1:14" x14ac:dyDescent="0.3">
      <c r="A84" s="2" t="s">
        <v>125</v>
      </c>
      <c r="B84" s="21">
        <v>46165</v>
      </c>
      <c r="C84" s="2" t="s">
        <v>37</v>
      </c>
      <c r="D84" s="2" t="s">
        <v>32</v>
      </c>
      <c r="E84" s="2" t="s">
        <v>33</v>
      </c>
      <c r="F84" s="2" t="s">
        <v>10</v>
      </c>
      <c r="G84" s="2" t="s">
        <v>29</v>
      </c>
      <c r="H84" s="2">
        <v>3</v>
      </c>
      <c r="I84" s="14">
        <v>4500</v>
      </c>
      <c r="J84" s="14">
        <v>12150</v>
      </c>
      <c r="K84" s="22">
        <v>0.1</v>
      </c>
      <c r="L84" s="14">
        <v>1336.5</v>
      </c>
      <c r="M84" s="2" t="str">
        <f>TEXT(SalesData[[#This Row],[Order Date]],"mmm")</f>
        <v>May</v>
      </c>
      <c r="N84" s="2" t="str">
        <f>TEXT(SalesData[[#This Row],[Order Date]],"yyyy-mm")</f>
        <v>2026-05</v>
      </c>
    </row>
    <row r="85" spans="1:14" x14ac:dyDescent="0.3">
      <c r="A85" s="2" t="s">
        <v>126</v>
      </c>
      <c r="B85" s="21">
        <v>46065</v>
      </c>
      <c r="C85" s="2" t="s">
        <v>58</v>
      </c>
      <c r="D85" s="2" t="s">
        <v>41</v>
      </c>
      <c r="E85" s="2" t="s">
        <v>11</v>
      </c>
      <c r="F85" s="2" t="s">
        <v>10</v>
      </c>
      <c r="G85" s="2" t="s">
        <v>29</v>
      </c>
      <c r="H85" s="2">
        <v>2</v>
      </c>
      <c r="I85" s="14">
        <v>18000</v>
      </c>
      <c r="J85" s="14">
        <v>30600</v>
      </c>
      <c r="K85" s="22">
        <v>0.15</v>
      </c>
      <c r="L85" s="14">
        <v>6732</v>
      </c>
      <c r="M85" s="2" t="str">
        <f>TEXT(SalesData[[#This Row],[Order Date]],"mmm")</f>
        <v>Feb</v>
      </c>
      <c r="N85" s="2" t="str">
        <f>TEXT(SalesData[[#This Row],[Order Date]],"yyyy-mm")</f>
        <v>2026-02</v>
      </c>
    </row>
    <row r="86" spans="1:14" x14ac:dyDescent="0.3">
      <c r="A86" s="2" t="s">
        <v>127</v>
      </c>
      <c r="B86" s="21">
        <v>46061</v>
      </c>
      <c r="C86" s="2" t="s">
        <v>40</v>
      </c>
      <c r="D86" s="2" t="s">
        <v>20</v>
      </c>
      <c r="E86" s="2" t="s">
        <v>11</v>
      </c>
      <c r="F86" s="2" t="s">
        <v>10</v>
      </c>
      <c r="G86" s="2" t="s">
        <v>49</v>
      </c>
      <c r="H86" s="2">
        <v>4</v>
      </c>
      <c r="I86" s="14">
        <v>30000</v>
      </c>
      <c r="J86" s="14">
        <v>120000</v>
      </c>
      <c r="K86" s="22">
        <v>0</v>
      </c>
      <c r="L86" s="14">
        <v>18000</v>
      </c>
      <c r="M86" s="2" t="str">
        <f>TEXT(SalesData[[#This Row],[Order Date]],"mmm")</f>
        <v>Feb</v>
      </c>
      <c r="N86" s="2" t="str">
        <f>TEXT(SalesData[[#This Row],[Order Date]],"yyyy-mm")</f>
        <v>2026-02</v>
      </c>
    </row>
    <row r="87" spans="1:14" x14ac:dyDescent="0.3">
      <c r="A87" s="2" t="s">
        <v>128</v>
      </c>
      <c r="B87" s="21">
        <v>46109</v>
      </c>
      <c r="C87" s="2" t="s">
        <v>58</v>
      </c>
      <c r="D87" s="2" t="s">
        <v>41</v>
      </c>
      <c r="E87" s="2" t="s">
        <v>11</v>
      </c>
      <c r="F87" s="2" t="s">
        <v>12</v>
      </c>
      <c r="G87" s="2" t="s">
        <v>29</v>
      </c>
      <c r="H87" s="2">
        <v>5</v>
      </c>
      <c r="I87" s="14">
        <v>18000</v>
      </c>
      <c r="J87" s="14">
        <v>76500</v>
      </c>
      <c r="K87" s="22">
        <v>0.15</v>
      </c>
      <c r="L87" s="14">
        <v>18360</v>
      </c>
      <c r="M87" s="2" t="str">
        <f>TEXT(SalesData[[#This Row],[Order Date]],"mmm")</f>
        <v>Mar</v>
      </c>
      <c r="N87" s="2" t="str">
        <f>TEXT(SalesData[[#This Row],[Order Date]],"yyyy-mm")</f>
        <v>2026-03</v>
      </c>
    </row>
    <row r="88" spans="1:14" x14ac:dyDescent="0.3">
      <c r="A88" s="2" t="s">
        <v>129</v>
      </c>
      <c r="B88" s="21">
        <v>46067</v>
      </c>
      <c r="C88" s="2" t="s">
        <v>31</v>
      </c>
      <c r="D88" s="2" t="s">
        <v>41</v>
      </c>
      <c r="E88" s="2" t="s">
        <v>11</v>
      </c>
      <c r="F88" s="2" t="s">
        <v>21</v>
      </c>
      <c r="G88" s="2" t="s">
        <v>34</v>
      </c>
      <c r="H88" s="2">
        <v>1</v>
      </c>
      <c r="I88" s="14">
        <v>18000</v>
      </c>
      <c r="J88" s="14">
        <v>16200</v>
      </c>
      <c r="K88" s="22">
        <v>0.1</v>
      </c>
      <c r="L88" s="14">
        <v>2106</v>
      </c>
      <c r="M88" s="2" t="str">
        <f>TEXT(SalesData[[#This Row],[Order Date]],"mmm")</f>
        <v>Feb</v>
      </c>
      <c r="N88" s="2" t="str">
        <f>TEXT(SalesData[[#This Row],[Order Date]],"yyyy-mm")</f>
        <v>2026-02</v>
      </c>
    </row>
    <row r="89" spans="1:14" x14ac:dyDescent="0.3">
      <c r="A89" s="2" t="s">
        <v>130</v>
      </c>
      <c r="B89" s="21">
        <v>46047</v>
      </c>
      <c r="C89" s="2" t="s">
        <v>40</v>
      </c>
      <c r="D89" s="2" t="s">
        <v>32</v>
      </c>
      <c r="E89" s="2" t="s">
        <v>33</v>
      </c>
      <c r="F89" s="2" t="s">
        <v>13</v>
      </c>
      <c r="G89" s="2" t="s">
        <v>26</v>
      </c>
      <c r="H89" s="2">
        <v>3</v>
      </c>
      <c r="I89" s="14">
        <v>4500</v>
      </c>
      <c r="J89" s="14">
        <v>11475</v>
      </c>
      <c r="K89" s="22">
        <v>0.15</v>
      </c>
      <c r="L89" s="14">
        <v>2868.75</v>
      </c>
      <c r="M89" s="2" t="str">
        <f>TEXT(SalesData[[#This Row],[Order Date]],"mmm")</f>
        <v>Jan</v>
      </c>
      <c r="N89" s="2" t="str">
        <f>TEXT(SalesData[[#This Row],[Order Date]],"yyyy-mm")</f>
        <v>2026-01</v>
      </c>
    </row>
    <row r="90" spans="1:14" x14ac:dyDescent="0.3">
      <c r="A90" s="2" t="s">
        <v>131</v>
      </c>
      <c r="B90" s="21">
        <v>46066</v>
      </c>
      <c r="C90" s="2" t="s">
        <v>51</v>
      </c>
      <c r="D90" s="2" t="s">
        <v>48</v>
      </c>
      <c r="E90" s="2" t="s">
        <v>9</v>
      </c>
      <c r="F90" s="2" t="s">
        <v>21</v>
      </c>
      <c r="G90" s="2" t="s">
        <v>34</v>
      </c>
      <c r="H90" s="2">
        <v>5</v>
      </c>
      <c r="I90" s="14">
        <v>55000</v>
      </c>
      <c r="J90" s="14">
        <v>261250</v>
      </c>
      <c r="K90" s="22">
        <v>0.05</v>
      </c>
      <c r="L90" s="14">
        <v>26125</v>
      </c>
      <c r="M90" s="2" t="str">
        <f>TEXT(SalesData[[#This Row],[Order Date]],"mmm")</f>
        <v>Feb</v>
      </c>
      <c r="N90" s="2" t="str">
        <f>TEXT(SalesData[[#This Row],[Order Date]],"yyyy-mm")</f>
        <v>2026-02</v>
      </c>
    </row>
    <row r="91" spans="1:14" x14ac:dyDescent="0.3">
      <c r="A91" s="2" t="s">
        <v>132</v>
      </c>
      <c r="B91" s="21">
        <v>46132</v>
      </c>
      <c r="C91" s="2" t="s">
        <v>40</v>
      </c>
      <c r="D91" s="2" t="s">
        <v>43</v>
      </c>
      <c r="E91" s="2" t="s">
        <v>33</v>
      </c>
      <c r="F91" s="2" t="s">
        <v>10</v>
      </c>
      <c r="G91" s="2" t="s">
        <v>29</v>
      </c>
      <c r="H91" s="2">
        <v>3</v>
      </c>
      <c r="I91" s="14">
        <v>6500</v>
      </c>
      <c r="J91" s="14">
        <v>16575</v>
      </c>
      <c r="K91" s="22">
        <v>0.15</v>
      </c>
      <c r="L91" s="14">
        <v>3812.25</v>
      </c>
      <c r="M91" s="2" t="str">
        <f>TEXT(SalesData[[#This Row],[Order Date]],"mmm")</f>
        <v>Apr</v>
      </c>
      <c r="N91" s="2" t="str">
        <f>TEXT(SalesData[[#This Row],[Order Date]],"yyyy-mm")</f>
        <v>2026-04</v>
      </c>
    </row>
    <row r="92" spans="1:14" x14ac:dyDescent="0.3">
      <c r="A92" s="2" t="s">
        <v>133</v>
      </c>
      <c r="B92" s="21">
        <v>46172</v>
      </c>
      <c r="C92" s="2" t="s">
        <v>37</v>
      </c>
      <c r="D92" s="2" t="s">
        <v>38</v>
      </c>
      <c r="E92" s="2" t="s">
        <v>33</v>
      </c>
      <c r="F92" s="2" t="s">
        <v>21</v>
      </c>
      <c r="G92" s="2" t="s">
        <v>22</v>
      </c>
      <c r="H92" s="2">
        <v>1</v>
      </c>
      <c r="I92" s="14">
        <v>12000</v>
      </c>
      <c r="J92" s="14">
        <v>10200</v>
      </c>
      <c r="K92" s="22">
        <v>0.15</v>
      </c>
      <c r="L92" s="14">
        <v>1122</v>
      </c>
      <c r="M92" s="2" t="str">
        <f>TEXT(SalesData[[#This Row],[Order Date]],"mmm")</f>
        <v>May</v>
      </c>
      <c r="N92" s="2" t="str">
        <f>TEXT(SalesData[[#This Row],[Order Date]],"yyyy-mm")</f>
        <v>2026-05</v>
      </c>
    </row>
    <row r="93" spans="1:14" x14ac:dyDescent="0.3">
      <c r="A93" s="2" t="s">
        <v>134</v>
      </c>
      <c r="B93" s="21">
        <v>46197</v>
      </c>
      <c r="C93" s="2" t="s">
        <v>31</v>
      </c>
      <c r="D93" s="2" t="s">
        <v>20</v>
      </c>
      <c r="E93" s="2" t="s">
        <v>11</v>
      </c>
      <c r="F93" s="2" t="s">
        <v>12</v>
      </c>
      <c r="G93" s="2" t="s">
        <v>49</v>
      </c>
      <c r="H93" s="2">
        <v>4</v>
      </c>
      <c r="I93" s="14">
        <v>30000</v>
      </c>
      <c r="J93" s="14">
        <v>114000</v>
      </c>
      <c r="K93" s="22">
        <v>0.05</v>
      </c>
      <c r="L93" s="14">
        <v>28500</v>
      </c>
      <c r="M93" s="2" t="str">
        <f>TEXT(SalesData[[#This Row],[Order Date]],"mmm")</f>
        <v>Jun</v>
      </c>
      <c r="N93" s="2" t="str">
        <f>TEXT(SalesData[[#This Row],[Order Date]],"yyyy-mm")</f>
        <v>2026-06</v>
      </c>
    </row>
    <row r="94" spans="1:14" x14ac:dyDescent="0.3">
      <c r="A94" s="2" t="s">
        <v>135</v>
      </c>
      <c r="B94" s="21">
        <v>46089</v>
      </c>
      <c r="C94" s="2" t="s">
        <v>62</v>
      </c>
      <c r="D94" s="2" t="s">
        <v>41</v>
      </c>
      <c r="E94" s="2" t="s">
        <v>11</v>
      </c>
      <c r="F94" s="2" t="s">
        <v>21</v>
      </c>
      <c r="G94" s="2" t="s">
        <v>49</v>
      </c>
      <c r="H94" s="2">
        <v>2</v>
      </c>
      <c r="I94" s="14">
        <v>18000</v>
      </c>
      <c r="J94" s="14">
        <v>32400</v>
      </c>
      <c r="K94" s="22">
        <v>0.1</v>
      </c>
      <c r="L94" s="14">
        <v>7128</v>
      </c>
      <c r="M94" s="2" t="str">
        <f>TEXT(SalesData[[#This Row],[Order Date]],"mmm")</f>
        <v>Mar</v>
      </c>
      <c r="N94" s="2" t="str">
        <f>TEXT(SalesData[[#This Row],[Order Date]],"yyyy-mm")</f>
        <v>2026-03</v>
      </c>
    </row>
    <row r="95" spans="1:14" x14ac:dyDescent="0.3">
      <c r="A95" s="2" t="s">
        <v>136</v>
      </c>
      <c r="B95" s="21">
        <v>46142</v>
      </c>
      <c r="C95" s="2" t="s">
        <v>31</v>
      </c>
      <c r="D95" s="2" t="s">
        <v>41</v>
      </c>
      <c r="E95" s="2" t="s">
        <v>11</v>
      </c>
      <c r="F95" s="2" t="s">
        <v>21</v>
      </c>
      <c r="G95" s="2" t="s">
        <v>34</v>
      </c>
      <c r="H95" s="2">
        <v>1</v>
      </c>
      <c r="I95" s="14">
        <v>18000</v>
      </c>
      <c r="J95" s="14">
        <v>18000</v>
      </c>
      <c r="K95" s="22">
        <v>0</v>
      </c>
      <c r="L95" s="14">
        <v>1980</v>
      </c>
      <c r="M95" s="2" t="str">
        <f>TEXT(SalesData[[#This Row],[Order Date]],"mmm")</f>
        <v>Apr</v>
      </c>
      <c r="N95" s="2" t="str">
        <f>TEXT(SalesData[[#This Row],[Order Date]],"yyyy-mm")</f>
        <v>2026-04</v>
      </c>
    </row>
    <row r="96" spans="1:14" x14ac:dyDescent="0.3">
      <c r="A96" s="2" t="s">
        <v>137</v>
      </c>
      <c r="B96" s="21">
        <v>46186</v>
      </c>
      <c r="C96" s="2" t="s">
        <v>24</v>
      </c>
      <c r="D96" s="2" t="s">
        <v>20</v>
      </c>
      <c r="E96" s="2" t="s">
        <v>11</v>
      </c>
      <c r="F96" s="2" t="s">
        <v>12</v>
      </c>
      <c r="G96" s="2" t="s">
        <v>29</v>
      </c>
      <c r="H96" s="2">
        <v>1</v>
      </c>
      <c r="I96" s="14">
        <v>30000</v>
      </c>
      <c r="J96" s="14">
        <v>25500</v>
      </c>
      <c r="K96" s="22">
        <v>0.15</v>
      </c>
      <c r="L96" s="14">
        <v>4590</v>
      </c>
      <c r="M96" s="2" t="str">
        <f>TEXT(SalesData[[#This Row],[Order Date]],"mmm")</f>
        <v>Jun</v>
      </c>
      <c r="N96" s="2" t="str">
        <f>TEXT(SalesData[[#This Row],[Order Date]],"yyyy-mm")</f>
        <v>2026-06</v>
      </c>
    </row>
    <row r="97" spans="1:14" x14ac:dyDescent="0.3">
      <c r="A97" s="2" t="s">
        <v>138</v>
      </c>
      <c r="B97" s="21">
        <v>46193</v>
      </c>
      <c r="C97" s="2" t="s">
        <v>19</v>
      </c>
      <c r="D97" s="2" t="s">
        <v>48</v>
      </c>
      <c r="E97" s="2" t="s">
        <v>9</v>
      </c>
      <c r="F97" s="2" t="s">
        <v>10</v>
      </c>
      <c r="G97" s="2" t="s">
        <v>34</v>
      </c>
      <c r="H97" s="2">
        <v>5</v>
      </c>
      <c r="I97" s="14">
        <v>55000</v>
      </c>
      <c r="J97" s="14">
        <v>275000</v>
      </c>
      <c r="K97" s="22">
        <v>0</v>
      </c>
      <c r="L97" s="14">
        <v>35750</v>
      </c>
      <c r="M97" s="2" t="str">
        <f>TEXT(SalesData[[#This Row],[Order Date]],"mmm")</f>
        <v>Jun</v>
      </c>
      <c r="N97" s="2" t="str">
        <f>TEXT(SalesData[[#This Row],[Order Date]],"yyyy-mm")</f>
        <v>2026-06</v>
      </c>
    </row>
    <row r="98" spans="1:14" x14ac:dyDescent="0.3">
      <c r="A98" s="2" t="s">
        <v>139</v>
      </c>
      <c r="B98" s="21">
        <v>46138</v>
      </c>
      <c r="C98" s="2" t="s">
        <v>31</v>
      </c>
      <c r="D98" s="2" t="s">
        <v>38</v>
      </c>
      <c r="E98" s="2" t="s">
        <v>33</v>
      </c>
      <c r="F98" s="2" t="s">
        <v>13</v>
      </c>
      <c r="G98" s="2" t="s">
        <v>34</v>
      </c>
      <c r="H98" s="2">
        <v>7</v>
      </c>
      <c r="I98" s="14">
        <v>12000</v>
      </c>
      <c r="J98" s="14">
        <v>79800</v>
      </c>
      <c r="K98" s="22">
        <v>0.05</v>
      </c>
      <c r="L98" s="14">
        <v>17556</v>
      </c>
      <c r="M98" s="2" t="str">
        <f>TEXT(SalesData[[#This Row],[Order Date]],"mmm")</f>
        <v>Apr</v>
      </c>
      <c r="N98" s="2" t="str">
        <f>TEXT(SalesData[[#This Row],[Order Date]],"yyyy-mm")</f>
        <v>2026-04</v>
      </c>
    </row>
    <row r="99" spans="1:14" x14ac:dyDescent="0.3">
      <c r="A99" s="2" t="s">
        <v>140</v>
      </c>
      <c r="B99" s="21">
        <v>46128</v>
      </c>
      <c r="C99" s="2" t="s">
        <v>37</v>
      </c>
      <c r="D99" s="2" t="s">
        <v>59</v>
      </c>
      <c r="E99" s="2" t="s">
        <v>9</v>
      </c>
      <c r="F99" s="2" t="s">
        <v>12</v>
      </c>
      <c r="G99" s="2" t="s">
        <v>22</v>
      </c>
      <c r="H99" s="2">
        <v>4</v>
      </c>
      <c r="I99" s="14">
        <v>8500</v>
      </c>
      <c r="J99" s="14">
        <v>32300</v>
      </c>
      <c r="K99" s="22">
        <v>0.05</v>
      </c>
      <c r="L99" s="14">
        <v>7752</v>
      </c>
      <c r="M99" s="2" t="str">
        <f>TEXT(SalesData[[#This Row],[Order Date]],"mmm")</f>
        <v>Apr</v>
      </c>
      <c r="N99" s="2" t="str">
        <f>TEXT(SalesData[[#This Row],[Order Date]],"yyyy-mm")</f>
        <v>2026-04</v>
      </c>
    </row>
    <row r="100" spans="1:14" x14ac:dyDescent="0.3">
      <c r="A100" s="2" t="s">
        <v>141</v>
      </c>
      <c r="B100" s="21">
        <v>46194</v>
      </c>
      <c r="C100" s="2" t="s">
        <v>46</v>
      </c>
      <c r="D100" s="2" t="s">
        <v>20</v>
      </c>
      <c r="E100" s="2" t="s">
        <v>11</v>
      </c>
      <c r="F100" s="2" t="s">
        <v>12</v>
      </c>
      <c r="G100" s="2" t="s">
        <v>29</v>
      </c>
      <c r="H100" s="2">
        <v>7</v>
      </c>
      <c r="I100" s="14">
        <v>30000</v>
      </c>
      <c r="J100" s="14">
        <v>199500</v>
      </c>
      <c r="K100" s="22">
        <v>0.05</v>
      </c>
      <c r="L100" s="14">
        <v>15960</v>
      </c>
      <c r="M100" s="2" t="str">
        <f>TEXT(SalesData[[#This Row],[Order Date]],"mmm")</f>
        <v>Jun</v>
      </c>
      <c r="N100" s="2" t="str">
        <f>TEXT(SalesData[[#This Row],[Order Date]],"yyyy-mm")</f>
        <v>2026-06</v>
      </c>
    </row>
    <row r="101" spans="1:14" x14ac:dyDescent="0.3">
      <c r="A101" s="2" t="s">
        <v>142</v>
      </c>
      <c r="B101" s="21">
        <v>46126</v>
      </c>
      <c r="C101" s="2" t="s">
        <v>31</v>
      </c>
      <c r="D101" s="2" t="s">
        <v>38</v>
      </c>
      <c r="E101" s="2" t="s">
        <v>33</v>
      </c>
      <c r="F101" s="2" t="s">
        <v>12</v>
      </c>
      <c r="G101" s="2" t="s">
        <v>34</v>
      </c>
      <c r="H101" s="2">
        <v>2</v>
      </c>
      <c r="I101" s="14">
        <v>12000</v>
      </c>
      <c r="J101" s="14">
        <v>24000</v>
      </c>
      <c r="K101" s="22">
        <v>0</v>
      </c>
      <c r="L101" s="14">
        <v>2160</v>
      </c>
      <c r="M101" s="2" t="str">
        <f>TEXT(SalesData[[#This Row],[Order Date]],"mmm")</f>
        <v>Apr</v>
      </c>
      <c r="N101" s="2" t="str">
        <f>TEXT(SalesData[[#This Row],[Order Date]],"yyyy-mm")</f>
        <v>2026-04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0E3D8-52E4-441E-9DC9-54DACE1BD01D}">
  <dimension ref="A1:L33"/>
  <sheetViews>
    <sheetView showGridLines="0" zoomScale="90" zoomScaleNormal="90" workbookViewId="0">
      <selection activeCell="J14" sqref="J14"/>
    </sheetView>
  </sheetViews>
  <sheetFormatPr defaultRowHeight="14" x14ac:dyDescent="0.3"/>
  <cols>
    <col min="1" max="1" width="11.453125" style="2" bestFit="1" customWidth="1"/>
    <col min="2" max="2" width="11.7265625" style="2" bestFit="1" customWidth="1"/>
    <col min="3" max="3" width="17" style="2" bestFit="1" customWidth="1"/>
    <col min="4" max="4" width="11.81640625" style="2" customWidth="1"/>
    <col min="5" max="5" width="11.453125" style="2" bestFit="1" customWidth="1"/>
    <col min="6" max="6" width="11.7265625" style="2" bestFit="1" customWidth="1"/>
    <col min="7" max="7" width="14.90625" style="2" bestFit="1" customWidth="1"/>
    <col min="8" max="8" width="12.36328125" style="2" bestFit="1" customWidth="1"/>
    <col min="9" max="9" width="11.36328125" style="2" bestFit="1" customWidth="1"/>
    <col min="10" max="10" width="12.6328125" style="2" bestFit="1" customWidth="1"/>
    <col min="11" max="11" width="14.90625" style="2" bestFit="1" customWidth="1"/>
    <col min="12" max="16384" width="8.7265625" style="2"/>
  </cols>
  <sheetData>
    <row r="1" spans="1:11" x14ac:dyDescent="0.3">
      <c r="A1" s="24" t="s">
        <v>168</v>
      </c>
      <c r="B1" s="24"/>
      <c r="C1" s="24"/>
      <c r="D1" s="24"/>
      <c r="E1" s="24"/>
      <c r="F1" s="24"/>
      <c r="G1" s="24"/>
      <c r="H1" s="24"/>
    </row>
    <row r="2" spans="1:11" x14ac:dyDescent="0.3">
      <c r="A2" s="24"/>
      <c r="B2" s="24"/>
      <c r="C2" s="24"/>
      <c r="D2" s="24"/>
      <c r="E2" s="24"/>
      <c r="F2" s="24"/>
      <c r="G2" s="24"/>
      <c r="H2" s="24"/>
    </row>
    <row r="3" spans="1:11" x14ac:dyDescent="0.3">
      <c r="A3" s="24"/>
      <c r="B3" s="24"/>
      <c r="C3" s="24"/>
      <c r="D3" s="24"/>
      <c r="E3" s="24"/>
      <c r="F3" s="24"/>
      <c r="G3" s="24"/>
      <c r="H3" s="24"/>
    </row>
    <row r="5" spans="1:11" x14ac:dyDescent="0.3">
      <c r="A5" s="23" t="s">
        <v>162</v>
      </c>
      <c r="B5" s="23"/>
      <c r="C5" s="23"/>
      <c r="E5" s="23" t="s">
        <v>163</v>
      </c>
      <c r="F5" s="25"/>
    </row>
    <row r="6" spans="1:11" x14ac:dyDescent="0.3">
      <c r="A6" s="11" t="s">
        <v>4</v>
      </c>
      <c r="B6" s="2" t="s">
        <v>144</v>
      </c>
      <c r="C6" s="2" t="s">
        <v>160</v>
      </c>
      <c r="E6" s="11" t="s">
        <v>3</v>
      </c>
      <c r="F6" s="12" t="s">
        <v>144</v>
      </c>
    </row>
    <row r="7" spans="1:11" x14ac:dyDescent="0.3">
      <c r="A7" s="13" t="s">
        <v>13</v>
      </c>
      <c r="B7" s="14">
        <v>3302625</v>
      </c>
      <c r="C7" s="15">
        <v>26</v>
      </c>
      <c r="E7" s="13" t="s">
        <v>33</v>
      </c>
      <c r="F7" s="14">
        <v>860650</v>
      </c>
    </row>
    <row r="8" spans="1:11" x14ac:dyDescent="0.3">
      <c r="A8" s="13" t="s">
        <v>10</v>
      </c>
      <c r="B8" s="14">
        <v>2975200</v>
      </c>
      <c r="C8" s="15">
        <v>30</v>
      </c>
      <c r="E8" s="13" t="s">
        <v>9</v>
      </c>
      <c r="F8" s="14">
        <v>5321675</v>
      </c>
    </row>
    <row r="9" spans="1:11" x14ac:dyDescent="0.3">
      <c r="A9" s="13" t="s">
        <v>12</v>
      </c>
      <c r="B9" s="14">
        <v>1976100</v>
      </c>
      <c r="C9" s="15">
        <v>19</v>
      </c>
      <c r="E9" s="13" t="s">
        <v>11</v>
      </c>
      <c r="F9" s="14">
        <v>3972600</v>
      </c>
    </row>
    <row r="10" spans="1:11" x14ac:dyDescent="0.3">
      <c r="A10" s="13" t="s">
        <v>21</v>
      </c>
      <c r="B10" s="14">
        <v>1901000</v>
      </c>
      <c r="C10" s="15">
        <v>25</v>
      </c>
      <c r="E10" s="13" t="s">
        <v>143</v>
      </c>
      <c r="F10" s="14">
        <v>10154925</v>
      </c>
    </row>
    <row r="11" spans="1:11" x14ac:dyDescent="0.3">
      <c r="A11" s="13" t="s">
        <v>143</v>
      </c>
      <c r="B11" s="14">
        <v>10154925</v>
      </c>
      <c r="C11" s="15">
        <v>100</v>
      </c>
      <c r="G11" s="15"/>
    </row>
    <row r="13" spans="1:11" x14ac:dyDescent="0.3">
      <c r="A13" s="23" t="s">
        <v>164</v>
      </c>
      <c r="B13" s="23"/>
      <c r="C13" s="23"/>
      <c r="E13" s="23" t="s">
        <v>165</v>
      </c>
      <c r="F13" s="23"/>
      <c r="G13" s="23"/>
    </row>
    <row r="14" spans="1:11" x14ac:dyDescent="0.3">
      <c r="A14" s="11" t="s">
        <v>147</v>
      </c>
      <c r="B14" s="12" t="s">
        <v>145</v>
      </c>
      <c r="C14" s="12" t="s">
        <v>144</v>
      </c>
      <c r="E14" s="11" t="s">
        <v>155</v>
      </c>
      <c r="F14" s="12" t="s">
        <v>144</v>
      </c>
      <c r="G14" s="2" t="s">
        <v>154</v>
      </c>
      <c r="J14" s="16"/>
      <c r="K14" s="8"/>
    </row>
    <row r="15" spans="1:11" x14ac:dyDescent="0.3">
      <c r="A15" s="13" t="s">
        <v>146</v>
      </c>
      <c r="B15" s="14">
        <v>340657.75</v>
      </c>
      <c r="C15" s="14">
        <v>1803125</v>
      </c>
      <c r="E15" s="13" t="s">
        <v>8</v>
      </c>
      <c r="F15" s="14">
        <v>3191750</v>
      </c>
      <c r="G15" s="15">
        <v>40</v>
      </c>
    </row>
    <row r="16" spans="1:11" x14ac:dyDescent="0.3">
      <c r="A16" s="13" t="s">
        <v>148</v>
      </c>
      <c r="B16" s="14">
        <v>368603.5</v>
      </c>
      <c r="C16" s="14">
        <v>2089400</v>
      </c>
      <c r="E16" s="13" t="s">
        <v>48</v>
      </c>
      <c r="F16" s="14">
        <v>1861750</v>
      </c>
      <c r="G16" s="15">
        <v>37</v>
      </c>
    </row>
    <row r="17" spans="1:12" x14ac:dyDescent="0.3">
      <c r="A17" s="13" t="s">
        <v>149</v>
      </c>
      <c r="B17" s="14">
        <v>273172.75</v>
      </c>
      <c r="C17" s="14">
        <v>1820375</v>
      </c>
      <c r="E17" s="13" t="s">
        <v>20</v>
      </c>
      <c r="F17" s="14">
        <v>1716000</v>
      </c>
      <c r="G17" s="15">
        <v>61</v>
      </c>
    </row>
    <row r="18" spans="1:12" x14ac:dyDescent="0.3">
      <c r="A18" s="13" t="s">
        <v>150</v>
      </c>
      <c r="B18" s="14">
        <v>110326</v>
      </c>
      <c r="C18" s="14">
        <v>749750</v>
      </c>
      <c r="E18" s="13" t="s">
        <v>41</v>
      </c>
      <c r="F18" s="14">
        <v>1151100</v>
      </c>
      <c r="G18" s="15">
        <v>68</v>
      </c>
    </row>
    <row r="19" spans="1:12" x14ac:dyDescent="0.3">
      <c r="A19" s="13" t="s">
        <v>151</v>
      </c>
      <c r="B19" s="14">
        <v>148773.75</v>
      </c>
      <c r="C19" s="14">
        <v>766700</v>
      </c>
      <c r="E19" s="13" t="s">
        <v>25</v>
      </c>
      <c r="F19" s="14">
        <v>1105500</v>
      </c>
      <c r="G19" s="15">
        <v>54</v>
      </c>
    </row>
    <row r="20" spans="1:12" x14ac:dyDescent="0.3">
      <c r="A20" s="13" t="s">
        <v>152</v>
      </c>
      <c r="B20" s="14">
        <v>422637.25</v>
      </c>
      <c r="C20" s="14">
        <v>2925575</v>
      </c>
      <c r="E20" s="13" t="s">
        <v>38</v>
      </c>
      <c r="F20" s="14">
        <v>503400</v>
      </c>
      <c r="G20" s="15">
        <v>46</v>
      </c>
    </row>
    <row r="21" spans="1:12" x14ac:dyDescent="0.3">
      <c r="A21" s="13" t="s">
        <v>143</v>
      </c>
      <c r="B21" s="14">
        <v>1664171</v>
      </c>
      <c r="C21" s="14">
        <v>10154925</v>
      </c>
      <c r="E21" s="13" t="s">
        <v>59</v>
      </c>
      <c r="F21" s="14">
        <v>268175</v>
      </c>
      <c r="G21" s="15">
        <v>33</v>
      </c>
    </row>
    <row r="22" spans="1:12" x14ac:dyDescent="0.3">
      <c r="A22" s="13"/>
      <c r="B22" s="14"/>
      <c r="C22" s="14"/>
      <c r="E22" s="13" t="s">
        <v>32</v>
      </c>
      <c r="F22" s="14">
        <v>195075</v>
      </c>
      <c r="G22" s="15">
        <v>48</v>
      </c>
    </row>
    <row r="23" spans="1:12" x14ac:dyDescent="0.3">
      <c r="E23" s="13" t="s">
        <v>43</v>
      </c>
      <c r="F23" s="14">
        <v>162175</v>
      </c>
      <c r="G23" s="15">
        <v>29</v>
      </c>
    </row>
    <row r="24" spans="1:12" x14ac:dyDescent="0.3">
      <c r="A24" s="23"/>
      <c r="B24" s="23"/>
      <c r="C24" s="23"/>
      <c r="E24" s="13" t="s">
        <v>143</v>
      </c>
      <c r="F24" s="14">
        <v>10154925</v>
      </c>
      <c r="G24" s="15">
        <v>416</v>
      </c>
      <c r="H24" s="16"/>
    </row>
    <row r="25" spans="1:12" x14ac:dyDescent="0.3">
      <c r="J25" s="23"/>
      <c r="K25" s="23"/>
      <c r="L25" s="23"/>
    </row>
    <row r="26" spans="1:12" x14ac:dyDescent="0.3">
      <c r="A26" s="23" t="s">
        <v>166</v>
      </c>
      <c r="B26" s="23"/>
      <c r="C26" s="23"/>
      <c r="E26" s="23" t="s">
        <v>167</v>
      </c>
      <c r="F26" s="25"/>
      <c r="G26" s="25"/>
      <c r="H26" s="25"/>
    </row>
    <row r="27" spans="1:12" x14ac:dyDescent="0.3">
      <c r="A27" s="11" t="s">
        <v>14</v>
      </c>
      <c r="B27" s="12" t="s">
        <v>144</v>
      </c>
      <c r="C27" s="12" t="s">
        <v>145</v>
      </c>
      <c r="E27" s="2" t="s">
        <v>160</v>
      </c>
      <c r="F27" s="2" t="s">
        <v>154</v>
      </c>
      <c r="G27" s="2" t="s">
        <v>144</v>
      </c>
      <c r="H27" s="2" t="s">
        <v>145</v>
      </c>
    </row>
    <row r="28" spans="1:12" x14ac:dyDescent="0.3">
      <c r="A28" s="13" t="s">
        <v>29</v>
      </c>
      <c r="B28" s="14">
        <v>2550850</v>
      </c>
      <c r="C28" s="14">
        <v>398665.75</v>
      </c>
      <c r="E28" s="14">
        <v>100</v>
      </c>
      <c r="F28" s="14">
        <v>416</v>
      </c>
      <c r="G28" s="14">
        <v>10154925</v>
      </c>
      <c r="H28" s="14">
        <v>1664171</v>
      </c>
    </row>
    <row r="29" spans="1:12" x14ac:dyDescent="0.3">
      <c r="A29" s="13" t="s">
        <v>34</v>
      </c>
      <c r="B29" s="14">
        <v>2362125</v>
      </c>
      <c r="C29" s="14">
        <v>405425.5</v>
      </c>
    </row>
    <row r="30" spans="1:12" x14ac:dyDescent="0.3">
      <c r="A30" s="13" t="s">
        <v>22</v>
      </c>
      <c r="B30" s="14">
        <v>1973025</v>
      </c>
      <c r="C30" s="14">
        <v>334733.5</v>
      </c>
    </row>
    <row r="31" spans="1:12" x14ac:dyDescent="0.3">
      <c r="A31" s="13" t="s">
        <v>26</v>
      </c>
      <c r="B31" s="14">
        <v>1695100</v>
      </c>
      <c r="C31" s="14">
        <v>252519.5</v>
      </c>
    </row>
    <row r="32" spans="1:12" x14ac:dyDescent="0.3">
      <c r="A32" s="13" t="s">
        <v>49</v>
      </c>
      <c r="B32" s="14">
        <v>1573825</v>
      </c>
      <c r="C32" s="14">
        <v>272826.75</v>
      </c>
    </row>
    <row r="33" spans="1:3" x14ac:dyDescent="0.3">
      <c r="A33" s="13" t="s">
        <v>143</v>
      </c>
      <c r="B33" s="14">
        <v>10154925</v>
      </c>
      <c r="C33" s="14">
        <v>1664171</v>
      </c>
    </row>
  </sheetData>
  <mergeCells count="9">
    <mergeCell ref="J25:L25"/>
    <mergeCell ref="A1:H3"/>
    <mergeCell ref="E5:F5"/>
    <mergeCell ref="A5:C5"/>
    <mergeCell ref="A26:C26"/>
    <mergeCell ref="E26:H26"/>
    <mergeCell ref="A13:C13"/>
    <mergeCell ref="E13:G13"/>
    <mergeCell ref="A24:C24"/>
  </mergeCell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9988-1027-43AF-820E-A5B5150A6948}">
  <dimension ref="A1:V86"/>
  <sheetViews>
    <sheetView showGridLines="0" topLeftCell="A20" zoomScale="70" zoomScaleNormal="70" workbookViewId="0">
      <selection activeCell="V14" sqref="V14"/>
    </sheetView>
  </sheetViews>
  <sheetFormatPr defaultRowHeight="14.5" x14ac:dyDescent="0.35"/>
  <sheetData>
    <row r="1" spans="1:18" x14ac:dyDescent="0.35">
      <c r="A1" s="24" t="s">
        <v>169</v>
      </c>
      <c r="B1" s="26"/>
      <c r="C1" s="26"/>
      <c r="D1" s="26"/>
      <c r="E1" s="26"/>
      <c r="F1" s="26"/>
      <c r="G1" s="26"/>
      <c r="H1" s="26"/>
      <c r="I1" s="26"/>
      <c r="J1" s="26"/>
      <c r="K1" s="26"/>
      <c r="L1" s="26"/>
      <c r="M1" s="26"/>
      <c r="N1" s="26"/>
      <c r="O1" s="26"/>
      <c r="P1" s="26"/>
      <c r="Q1" s="26"/>
      <c r="R1" s="26"/>
    </row>
    <row r="2" spans="1:18" x14ac:dyDescent="0.35">
      <c r="A2" s="26"/>
      <c r="B2" s="26"/>
      <c r="C2" s="26"/>
      <c r="D2" s="26"/>
      <c r="E2" s="26"/>
      <c r="F2" s="26"/>
      <c r="G2" s="26"/>
      <c r="H2" s="26"/>
      <c r="I2" s="26"/>
      <c r="J2" s="26"/>
      <c r="K2" s="26"/>
      <c r="L2" s="26"/>
      <c r="M2" s="26"/>
      <c r="N2" s="26"/>
      <c r="O2" s="26"/>
      <c r="P2" s="26"/>
      <c r="Q2" s="26"/>
      <c r="R2" s="26"/>
    </row>
    <row r="3" spans="1:18" x14ac:dyDescent="0.35">
      <c r="A3" s="26"/>
      <c r="B3" s="26"/>
      <c r="C3" s="26"/>
      <c r="D3" s="26"/>
      <c r="E3" s="26"/>
      <c r="F3" s="26"/>
      <c r="G3" s="26"/>
      <c r="H3" s="26"/>
      <c r="I3" s="26"/>
      <c r="J3" s="26"/>
      <c r="K3" s="26"/>
      <c r="L3" s="26"/>
      <c r="M3" s="26"/>
      <c r="N3" s="26"/>
      <c r="O3" s="26"/>
      <c r="P3" s="26"/>
      <c r="Q3" s="26"/>
      <c r="R3" s="26"/>
    </row>
    <row r="4" spans="1:18" x14ac:dyDescent="0.35">
      <c r="A4" s="1"/>
      <c r="B4" s="1"/>
      <c r="C4" s="1"/>
      <c r="D4" s="1"/>
      <c r="E4" s="1"/>
      <c r="F4" s="1"/>
      <c r="G4" s="1"/>
      <c r="H4" s="1"/>
      <c r="I4" s="1"/>
      <c r="J4" s="1"/>
      <c r="K4" s="1"/>
      <c r="L4" s="1"/>
      <c r="M4" s="1"/>
      <c r="N4" s="1"/>
      <c r="O4" s="1"/>
      <c r="P4" s="1"/>
      <c r="Q4" s="1"/>
      <c r="R4" s="1"/>
    </row>
    <row r="5" spans="1:18" x14ac:dyDescent="0.35">
      <c r="A5" s="3"/>
      <c r="B5" s="3"/>
      <c r="C5" s="3"/>
      <c r="D5" s="3"/>
      <c r="E5" s="3"/>
      <c r="F5" s="3"/>
      <c r="G5" s="3"/>
      <c r="H5" s="3"/>
      <c r="I5" s="3"/>
      <c r="J5" s="3"/>
      <c r="K5" s="3"/>
      <c r="L5" s="3"/>
      <c r="M5" s="3"/>
      <c r="N5" s="3"/>
      <c r="O5" s="3"/>
      <c r="P5" s="3"/>
      <c r="Q5" s="3"/>
      <c r="R5" s="3"/>
    </row>
    <row r="6" spans="1:18" x14ac:dyDescent="0.35">
      <c r="A6" s="2"/>
      <c r="B6" s="2"/>
      <c r="C6" s="2"/>
      <c r="D6" s="2"/>
      <c r="E6" s="2"/>
      <c r="F6" s="2"/>
      <c r="G6" s="2"/>
      <c r="H6" s="2"/>
      <c r="I6" s="2"/>
      <c r="J6" s="2"/>
      <c r="K6" s="2"/>
      <c r="L6" s="2"/>
      <c r="M6" s="2"/>
      <c r="N6" s="2"/>
      <c r="O6" s="2"/>
      <c r="P6" s="2"/>
      <c r="Q6" s="2"/>
      <c r="R6" s="2"/>
    </row>
    <row r="7" spans="1:18" x14ac:dyDescent="0.35">
      <c r="A7" s="2"/>
      <c r="B7" s="2"/>
      <c r="C7" s="2"/>
      <c r="D7" s="2"/>
      <c r="E7" s="2"/>
      <c r="F7" s="2"/>
      <c r="G7" s="2"/>
      <c r="H7" s="2"/>
      <c r="I7" s="2"/>
      <c r="J7" s="2"/>
      <c r="K7" s="2"/>
      <c r="L7" s="2"/>
      <c r="M7" s="2"/>
      <c r="N7" s="2"/>
      <c r="O7" s="2"/>
      <c r="P7" s="2"/>
      <c r="Q7" s="2"/>
      <c r="R7" s="2"/>
    </row>
    <row r="8" spans="1:18" x14ac:dyDescent="0.35">
      <c r="A8" s="2"/>
      <c r="B8" s="2"/>
      <c r="C8" s="2"/>
      <c r="D8" s="2"/>
      <c r="E8" s="2"/>
      <c r="F8" s="2"/>
      <c r="G8" s="2"/>
      <c r="H8" s="2"/>
      <c r="I8" s="2"/>
      <c r="J8" s="2"/>
      <c r="K8" s="2"/>
      <c r="L8" s="2"/>
      <c r="M8" s="2"/>
      <c r="N8" s="2"/>
      <c r="O8" s="2"/>
      <c r="P8" s="2"/>
      <c r="Q8" s="2"/>
      <c r="R8" s="2"/>
    </row>
    <row r="9" spans="1:18" x14ac:dyDescent="0.35">
      <c r="A9" s="2"/>
      <c r="B9" s="2"/>
      <c r="C9" s="2"/>
      <c r="D9" s="2"/>
      <c r="E9" s="2"/>
      <c r="F9" s="2"/>
      <c r="G9" s="2"/>
      <c r="H9" s="2"/>
      <c r="I9" s="2"/>
      <c r="J9" s="2"/>
      <c r="K9" s="2"/>
      <c r="L9" s="2"/>
      <c r="M9" s="2"/>
      <c r="N9" s="2"/>
      <c r="O9" s="2"/>
      <c r="P9" s="2"/>
      <c r="Q9" s="2"/>
      <c r="R9" s="2"/>
    </row>
    <row r="10" spans="1:18" x14ac:dyDescent="0.35">
      <c r="A10" s="2"/>
      <c r="B10" s="2"/>
      <c r="C10" s="2"/>
      <c r="D10" s="2"/>
      <c r="E10" s="2"/>
      <c r="F10" s="2"/>
      <c r="G10" s="2"/>
      <c r="H10" s="2"/>
      <c r="I10" s="2"/>
      <c r="J10" s="2"/>
      <c r="K10" s="2"/>
      <c r="L10" s="2"/>
      <c r="M10" s="2"/>
      <c r="N10" s="2"/>
      <c r="O10" s="2"/>
      <c r="P10" s="2"/>
      <c r="Q10" s="2"/>
      <c r="R10" s="2"/>
    </row>
    <row r="11" spans="1:18" x14ac:dyDescent="0.35">
      <c r="A11" s="2"/>
      <c r="B11" s="2"/>
      <c r="C11" s="2"/>
      <c r="D11" s="2"/>
      <c r="E11" s="2"/>
      <c r="F11" s="2"/>
      <c r="G11" s="2"/>
      <c r="H11" s="2"/>
      <c r="I11" s="2"/>
      <c r="J11" s="2"/>
      <c r="K11" s="2"/>
      <c r="L11" s="2"/>
      <c r="M11" s="2"/>
      <c r="N11" s="2"/>
      <c r="O11" s="2"/>
      <c r="P11" s="2"/>
      <c r="Q11" s="2"/>
      <c r="R11" s="2"/>
    </row>
    <row r="12" spans="1:18" x14ac:dyDescent="0.35">
      <c r="A12" s="2"/>
      <c r="B12" s="2"/>
      <c r="C12" s="2"/>
      <c r="D12" s="2"/>
      <c r="E12" s="2"/>
      <c r="F12" s="2"/>
      <c r="G12" s="2"/>
      <c r="H12" s="2"/>
      <c r="I12" s="2"/>
      <c r="J12" s="2"/>
      <c r="K12" s="2"/>
      <c r="L12" s="2"/>
      <c r="M12" s="2"/>
      <c r="N12" s="2"/>
      <c r="O12" s="2"/>
      <c r="P12" s="2"/>
      <c r="Q12" s="2"/>
      <c r="R12" s="2"/>
    </row>
    <row r="13" spans="1:18" x14ac:dyDescent="0.35">
      <c r="A13" s="2"/>
      <c r="B13" s="2"/>
      <c r="C13" s="2"/>
      <c r="D13" s="2"/>
      <c r="E13" s="2"/>
      <c r="F13" s="2"/>
      <c r="G13" s="2"/>
      <c r="H13" s="2"/>
      <c r="I13" s="2"/>
      <c r="J13" s="2"/>
      <c r="K13" s="2"/>
      <c r="L13" s="2"/>
      <c r="M13" s="2"/>
      <c r="N13" s="2"/>
      <c r="O13" s="2"/>
      <c r="P13" s="2"/>
      <c r="Q13" s="2"/>
      <c r="R13" s="2"/>
    </row>
    <row r="14" spans="1:18" x14ac:dyDescent="0.35">
      <c r="A14" s="2"/>
      <c r="B14" s="2"/>
      <c r="C14" s="2"/>
      <c r="D14" s="2"/>
      <c r="E14" s="2"/>
      <c r="F14" s="2"/>
      <c r="G14" s="2"/>
      <c r="H14" s="2"/>
      <c r="I14" s="2"/>
      <c r="J14" s="2"/>
      <c r="K14" s="2"/>
      <c r="L14" s="2"/>
      <c r="M14" s="2"/>
      <c r="N14" s="2"/>
      <c r="O14" s="2"/>
      <c r="P14" s="2"/>
      <c r="Q14" s="2"/>
      <c r="R14" s="2"/>
    </row>
    <row r="15" spans="1:18" x14ac:dyDescent="0.35">
      <c r="A15" s="2"/>
      <c r="B15" s="2"/>
      <c r="C15" s="2"/>
      <c r="D15" s="2"/>
      <c r="E15" s="2"/>
      <c r="F15" s="2"/>
      <c r="G15" s="2"/>
      <c r="H15" s="2"/>
      <c r="I15" s="2"/>
      <c r="J15" s="2"/>
      <c r="K15" s="2"/>
      <c r="L15" s="2"/>
      <c r="M15" s="2"/>
      <c r="N15" s="2"/>
      <c r="O15" s="2"/>
      <c r="P15" s="2"/>
      <c r="Q15" s="2"/>
      <c r="R15" s="2"/>
    </row>
    <row r="16" spans="1:18" x14ac:dyDescent="0.35">
      <c r="A16" s="2"/>
      <c r="B16" s="2"/>
      <c r="C16" s="2"/>
      <c r="D16" s="2"/>
      <c r="E16" s="2"/>
      <c r="F16" s="2"/>
      <c r="G16" s="2"/>
      <c r="H16" s="2"/>
      <c r="I16" s="2"/>
      <c r="J16" s="2"/>
      <c r="K16" s="2"/>
      <c r="L16" s="2"/>
      <c r="M16" s="2"/>
      <c r="N16" s="2"/>
      <c r="O16" s="2"/>
      <c r="P16" s="2"/>
      <c r="Q16" s="2"/>
      <c r="R16" s="2"/>
    </row>
    <row r="17" spans="1:22" x14ac:dyDescent="0.35">
      <c r="A17" s="2"/>
      <c r="B17" s="2"/>
      <c r="C17" s="2"/>
      <c r="D17" s="2"/>
      <c r="E17" s="2"/>
      <c r="F17" s="2"/>
      <c r="G17" s="2"/>
      <c r="H17" s="2"/>
      <c r="I17" s="2"/>
      <c r="J17" s="2"/>
      <c r="K17" s="2"/>
      <c r="L17" s="2"/>
      <c r="M17" s="2"/>
      <c r="N17" s="2"/>
      <c r="O17" s="2"/>
      <c r="P17" s="2"/>
      <c r="Q17" s="2"/>
      <c r="R17" s="2"/>
      <c r="V17" s="2"/>
    </row>
    <row r="18" spans="1:22" x14ac:dyDescent="0.35">
      <c r="A18" s="2"/>
      <c r="B18" s="2"/>
      <c r="C18" s="2"/>
      <c r="D18" s="2"/>
      <c r="E18" s="2"/>
      <c r="F18" s="2"/>
      <c r="G18" s="2"/>
      <c r="H18" s="2"/>
      <c r="I18" s="2"/>
      <c r="J18" s="2"/>
      <c r="K18" s="2"/>
      <c r="L18" s="2"/>
      <c r="M18" s="2"/>
      <c r="N18" s="2"/>
      <c r="O18" s="2"/>
      <c r="P18" s="2"/>
      <c r="Q18" s="2"/>
      <c r="R18" s="2"/>
    </row>
    <row r="19" spans="1:22" x14ac:dyDescent="0.35">
      <c r="A19" s="2"/>
      <c r="B19" s="2"/>
      <c r="C19" s="2"/>
      <c r="D19" s="2"/>
      <c r="E19" s="2"/>
      <c r="F19" s="2"/>
      <c r="G19" s="2"/>
      <c r="H19" s="2"/>
      <c r="I19" s="2"/>
      <c r="J19" s="2"/>
      <c r="K19" s="2"/>
      <c r="L19" s="2"/>
      <c r="M19" s="2"/>
      <c r="N19" s="2"/>
      <c r="O19" s="2"/>
      <c r="P19" s="2"/>
      <c r="Q19" s="2"/>
      <c r="R19" s="2"/>
    </row>
    <row r="20" spans="1:22" x14ac:dyDescent="0.35">
      <c r="A20" s="2"/>
      <c r="B20" s="2"/>
      <c r="C20" s="2"/>
      <c r="D20" s="2"/>
      <c r="E20" s="2"/>
      <c r="F20" s="2"/>
      <c r="G20" s="2"/>
      <c r="H20" s="2"/>
      <c r="I20" s="2"/>
      <c r="J20" s="2"/>
      <c r="K20" s="2"/>
      <c r="L20" s="2"/>
      <c r="M20" s="2"/>
      <c r="N20" s="2"/>
      <c r="O20" s="2"/>
      <c r="P20" s="2"/>
      <c r="Q20" s="2"/>
      <c r="R20" s="2"/>
    </row>
    <row r="21" spans="1:22" x14ac:dyDescent="0.35">
      <c r="A21" s="2"/>
      <c r="B21" s="2"/>
      <c r="C21" s="2"/>
      <c r="D21" s="2"/>
      <c r="E21" s="2"/>
      <c r="F21" s="2"/>
      <c r="G21" s="2"/>
      <c r="H21" s="2"/>
      <c r="I21" s="2"/>
      <c r="J21" s="2"/>
      <c r="K21" s="2"/>
      <c r="L21" s="2"/>
      <c r="M21" s="2"/>
      <c r="N21" s="2"/>
      <c r="O21" s="2"/>
      <c r="P21" s="2"/>
      <c r="Q21" s="2"/>
      <c r="R21" s="2"/>
    </row>
    <row r="22" spans="1:22" x14ac:dyDescent="0.35">
      <c r="A22" s="2"/>
      <c r="B22" s="2"/>
      <c r="C22" s="2"/>
      <c r="D22" s="2"/>
      <c r="E22" s="2"/>
      <c r="F22" s="2"/>
      <c r="G22" s="2"/>
      <c r="H22" s="2"/>
      <c r="I22" s="2"/>
      <c r="J22" s="2"/>
      <c r="K22" s="2"/>
      <c r="L22" s="2"/>
      <c r="M22" s="2"/>
      <c r="N22" s="2"/>
      <c r="O22" s="2"/>
      <c r="P22" s="2"/>
      <c r="Q22" s="2"/>
      <c r="R22" s="2"/>
    </row>
    <row r="23" spans="1:22" x14ac:dyDescent="0.35">
      <c r="A23" s="2"/>
      <c r="B23" s="2"/>
      <c r="C23" s="2"/>
      <c r="D23" s="2"/>
      <c r="E23" s="2"/>
      <c r="F23" s="2"/>
      <c r="G23" s="2"/>
      <c r="H23" s="2"/>
      <c r="I23" s="2"/>
      <c r="J23" s="2"/>
      <c r="K23" s="2"/>
      <c r="L23" s="2"/>
      <c r="M23" s="2"/>
      <c r="N23" s="2"/>
      <c r="O23" s="2"/>
      <c r="P23" s="2"/>
      <c r="Q23" s="2"/>
      <c r="R23" s="2"/>
    </row>
    <row r="24" spans="1:22" x14ac:dyDescent="0.35">
      <c r="A24" s="2"/>
      <c r="B24" s="2"/>
      <c r="C24" s="2"/>
      <c r="D24" s="2"/>
      <c r="E24" s="2"/>
      <c r="F24" s="2"/>
      <c r="G24" s="2"/>
      <c r="H24" s="2"/>
      <c r="I24" s="2"/>
      <c r="J24" s="2"/>
      <c r="K24" s="2"/>
      <c r="L24" s="2"/>
      <c r="M24" s="2"/>
      <c r="N24" s="2"/>
      <c r="O24" s="2"/>
      <c r="P24" s="2"/>
      <c r="Q24" s="2"/>
      <c r="R24" s="2"/>
    </row>
    <row r="25" spans="1:22" x14ac:dyDescent="0.35">
      <c r="A25" s="2"/>
      <c r="B25" s="2"/>
      <c r="C25" s="2"/>
      <c r="D25" s="2"/>
      <c r="E25" s="2"/>
      <c r="F25" s="2"/>
      <c r="G25" s="2"/>
      <c r="H25" s="2"/>
      <c r="I25" s="2"/>
      <c r="J25" s="2"/>
      <c r="K25" s="2"/>
      <c r="L25" s="2"/>
      <c r="M25" s="2"/>
      <c r="N25" s="2"/>
      <c r="O25" s="2"/>
      <c r="P25" s="2"/>
      <c r="Q25" s="2"/>
      <c r="R25" s="2"/>
    </row>
    <row r="26" spans="1:22" x14ac:dyDescent="0.35">
      <c r="A26" s="2"/>
      <c r="B26" s="2"/>
      <c r="C26" s="2"/>
      <c r="D26" s="2"/>
      <c r="E26" s="2"/>
      <c r="F26" s="2"/>
      <c r="G26" s="2"/>
      <c r="H26" s="2"/>
      <c r="I26" s="2"/>
      <c r="J26" s="2"/>
      <c r="K26" s="2"/>
      <c r="L26" s="2"/>
      <c r="M26" s="2"/>
      <c r="N26" s="2"/>
      <c r="O26" s="2"/>
      <c r="P26" s="2"/>
      <c r="Q26" s="2"/>
      <c r="R26" s="2"/>
    </row>
    <row r="27" spans="1:22" x14ac:dyDescent="0.35">
      <c r="A27" s="2"/>
      <c r="B27" s="2"/>
      <c r="C27" s="2"/>
      <c r="D27" s="2"/>
      <c r="E27" s="2"/>
      <c r="F27" s="2"/>
      <c r="G27" s="2"/>
      <c r="H27" s="2"/>
      <c r="I27" s="2"/>
      <c r="J27" s="2"/>
      <c r="K27" s="2"/>
      <c r="L27" s="2"/>
      <c r="M27" s="2"/>
      <c r="N27" s="2"/>
      <c r="O27" s="2"/>
      <c r="P27" s="2"/>
      <c r="Q27" s="2"/>
      <c r="R27" s="2"/>
    </row>
    <row r="28" spans="1:22" x14ac:dyDescent="0.35">
      <c r="A28" s="2"/>
      <c r="B28" s="2"/>
      <c r="C28" s="2"/>
      <c r="D28" s="2"/>
      <c r="E28" s="2"/>
      <c r="F28" s="2"/>
      <c r="G28" s="2"/>
      <c r="H28" s="2"/>
      <c r="I28" s="2"/>
      <c r="J28" s="2"/>
      <c r="K28" s="2"/>
      <c r="L28" s="2"/>
      <c r="M28" s="2"/>
      <c r="N28" s="2"/>
      <c r="O28" s="2"/>
      <c r="P28" s="2"/>
      <c r="Q28" s="2"/>
      <c r="R28" s="2"/>
    </row>
    <row r="29" spans="1:22" x14ac:dyDescent="0.35">
      <c r="A29" s="2"/>
      <c r="B29" s="2"/>
      <c r="C29" s="2"/>
      <c r="D29" s="2"/>
      <c r="E29" s="2"/>
      <c r="F29" s="2"/>
      <c r="G29" s="2"/>
      <c r="H29" s="2"/>
      <c r="I29" s="2"/>
      <c r="J29" s="2"/>
      <c r="K29" s="2"/>
      <c r="L29" s="2"/>
      <c r="M29" s="2"/>
      <c r="N29" s="2"/>
      <c r="O29" s="2"/>
      <c r="P29" s="2"/>
      <c r="Q29" s="2"/>
      <c r="R29" s="2"/>
    </row>
    <row r="30" spans="1:22" x14ac:dyDescent="0.35">
      <c r="A30" s="2"/>
      <c r="B30" s="2"/>
      <c r="C30" s="2"/>
      <c r="D30" s="2"/>
      <c r="E30" s="2"/>
      <c r="F30" s="2"/>
      <c r="G30" s="2"/>
      <c r="H30" s="2"/>
      <c r="I30" s="2"/>
      <c r="J30" s="2"/>
      <c r="K30" s="2"/>
      <c r="L30" s="2"/>
      <c r="M30" s="2"/>
      <c r="N30" s="2"/>
      <c r="O30" s="2"/>
      <c r="P30" s="2"/>
      <c r="Q30" s="2"/>
      <c r="R30" s="2"/>
    </row>
    <row r="31" spans="1:22" x14ac:dyDescent="0.35">
      <c r="A31" s="2"/>
      <c r="B31" s="2"/>
      <c r="C31" s="2"/>
      <c r="D31" s="2"/>
      <c r="E31" s="2"/>
      <c r="F31" s="2"/>
      <c r="G31" s="2"/>
      <c r="H31" s="2"/>
      <c r="I31" s="2"/>
      <c r="J31" s="2"/>
      <c r="K31" s="2"/>
      <c r="L31" s="2"/>
      <c r="M31" s="2"/>
      <c r="N31" s="2"/>
      <c r="O31" s="2"/>
      <c r="P31" s="2"/>
      <c r="Q31" s="2"/>
      <c r="R31" s="2"/>
    </row>
    <row r="32" spans="1:22" x14ac:dyDescent="0.35">
      <c r="A32" s="2"/>
      <c r="B32" s="2"/>
      <c r="C32" s="2"/>
      <c r="D32" s="2"/>
      <c r="E32" s="2"/>
      <c r="F32" s="2"/>
      <c r="G32" s="2"/>
      <c r="H32" s="2"/>
      <c r="I32" s="2"/>
      <c r="J32" s="2"/>
      <c r="K32" s="2"/>
      <c r="L32" s="2"/>
      <c r="M32" s="2"/>
      <c r="N32" s="2"/>
      <c r="O32" s="2"/>
      <c r="P32" s="2"/>
      <c r="Q32" s="2"/>
      <c r="R32" s="2"/>
    </row>
    <row r="33" spans="1:18" x14ac:dyDescent="0.35">
      <c r="A33" s="2"/>
      <c r="B33" s="2"/>
      <c r="C33" s="2"/>
      <c r="D33" s="2"/>
      <c r="E33" s="2"/>
      <c r="F33" s="2"/>
      <c r="G33" s="2"/>
      <c r="H33" s="2"/>
      <c r="I33" s="2"/>
      <c r="J33" s="2"/>
      <c r="K33" s="2"/>
      <c r="L33" s="2"/>
      <c r="M33" s="2"/>
      <c r="N33" s="2"/>
      <c r="O33" s="2"/>
      <c r="P33" s="2"/>
      <c r="Q33" s="2"/>
      <c r="R33" s="2"/>
    </row>
    <row r="34" spans="1:18" x14ac:dyDescent="0.35">
      <c r="A34" s="2"/>
      <c r="B34" s="2"/>
      <c r="C34" s="2"/>
      <c r="D34" s="2"/>
      <c r="E34" s="2"/>
      <c r="F34" s="2"/>
      <c r="G34" s="2"/>
      <c r="H34" s="2"/>
      <c r="I34" s="2"/>
      <c r="J34" s="2"/>
      <c r="K34" s="2"/>
      <c r="L34" s="2"/>
      <c r="M34" s="2"/>
      <c r="N34" s="2"/>
      <c r="O34" s="2"/>
      <c r="P34" s="2"/>
      <c r="Q34" s="2"/>
      <c r="R34" s="2"/>
    </row>
    <row r="35" spans="1:18" x14ac:dyDescent="0.35">
      <c r="A35" s="2"/>
      <c r="B35" s="2"/>
      <c r="C35" s="2"/>
      <c r="D35" s="2"/>
      <c r="E35" s="2"/>
      <c r="F35" s="2"/>
      <c r="G35" s="2"/>
      <c r="H35" s="2"/>
      <c r="I35" s="2"/>
      <c r="J35" s="2"/>
      <c r="K35" s="2"/>
      <c r="L35" s="2"/>
      <c r="M35" s="2"/>
      <c r="N35" s="2"/>
      <c r="O35" s="2"/>
      <c r="P35" s="2"/>
      <c r="Q35" s="2"/>
      <c r="R35" s="2"/>
    </row>
    <row r="36" spans="1:18" x14ac:dyDescent="0.35">
      <c r="A36" s="2"/>
      <c r="B36" s="2"/>
      <c r="C36" s="2"/>
      <c r="D36" s="2"/>
      <c r="E36" s="2"/>
      <c r="F36" s="2"/>
      <c r="G36" s="2"/>
      <c r="H36" s="2"/>
      <c r="I36" s="2"/>
      <c r="J36" s="2"/>
      <c r="K36" s="2"/>
      <c r="L36" s="2"/>
      <c r="M36" s="2"/>
      <c r="N36" s="2"/>
      <c r="O36" s="2"/>
      <c r="P36" s="2"/>
      <c r="Q36" s="2"/>
      <c r="R36" s="2"/>
    </row>
    <row r="37" spans="1:18" x14ac:dyDescent="0.35">
      <c r="A37" s="2"/>
      <c r="B37" s="2"/>
      <c r="C37" s="2"/>
      <c r="D37" s="2"/>
      <c r="E37" s="2"/>
      <c r="F37" s="2"/>
      <c r="G37" s="2"/>
      <c r="H37" s="2"/>
      <c r="I37" s="2"/>
      <c r="J37" s="2"/>
      <c r="K37" s="2"/>
      <c r="L37" s="2"/>
      <c r="M37" s="2"/>
      <c r="N37" s="2"/>
      <c r="O37" s="2"/>
      <c r="P37" s="2"/>
      <c r="Q37" s="2"/>
      <c r="R37" s="2"/>
    </row>
    <row r="38" spans="1:18" x14ac:dyDescent="0.35">
      <c r="A38" s="2"/>
      <c r="B38" s="2"/>
      <c r="C38" s="2"/>
      <c r="D38" s="2"/>
      <c r="E38" s="2"/>
      <c r="F38" s="2"/>
      <c r="G38" s="2"/>
      <c r="H38" s="2"/>
      <c r="I38" s="2"/>
      <c r="J38" s="2"/>
      <c r="K38" s="2"/>
      <c r="L38" s="2"/>
      <c r="M38" s="2"/>
      <c r="N38" s="2"/>
      <c r="O38" s="2"/>
      <c r="P38" s="2"/>
      <c r="Q38" s="2"/>
      <c r="R38" s="2"/>
    </row>
    <row r="39" spans="1:18" x14ac:dyDescent="0.35">
      <c r="A39" s="2"/>
      <c r="B39" s="2"/>
      <c r="C39" s="2"/>
      <c r="D39" s="2"/>
      <c r="E39" s="2"/>
      <c r="F39" s="2"/>
      <c r="G39" s="2"/>
      <c r="H39" s="2"/>
      <c r="I39" s="2"/>
      <c r="J39" s="2"/>
      <c r="K39" s="2"/>
      <c r="L39" s="2"/>
      <c r="M39" s="2"/>
      <c r="N39" s="2"/>
      <c r="O39" s="2"/>
      <c r="P39" s="2"/>
      <c r="Q39" s="2"/>
      <c r="R39" s="2"/>
    </row>
    <row r="40" spans="1:18" x14ac:dyDescent="0.35">
      <c r="A40" s="2"/>
      <c r="B40" s="2"/>
      <c r="C40" s="2"/>
      <c r="D40" s="2"/>
      <c r="E40" s="2"/>
      <c r="F40" s="2"/>
      <c r="G40" s="2"/>
      <c r="H40" s="2"/>
      <c r="I40" s="2"/>
      <c r="J40" s="2"/>
      <c r="K40" s="2"/>
      <c r="L40" s="2"/>
      <c r="M40" s="2"/>
      <c r="N40" s="2"/>
      <c r="O40" s="2"/>
      <c r="P40" s="2"/>
      <c r="Q40" s="2"/>
      <c r="R40" s="2"/>
    </row>
    <row r="41" spans="1:18" x14ac:dyDescent="0.35">
      <c r="A41" s="2"/>
      <c r="B41" s="2"/>
      <c r="C41" s="2"/>
      <c r="D41" s="2"/>
      <c r="E41" s="2"/>
      <c r="F41" s="2"/>
      <c r="G41" s="2"/>
      <c r="H41" s="2"/>
      <c r="I41" s="2"/>
      <c r="J41" s="2"/>
      <c r="K41" s="2"/>
      <c r="L41" s="2"/>
      <c r="M41" s="2"/>
      <c r="N41" s="2"/>
      <c r="O41" s="2"/>
      <c r="P41" s="2"/>
      <c r="Q41" s="2"/>
      <c r="R41" s="2"/>
    </row>
    <row r="42" spans="1:18" x14ac:dyDescent="0.35">
      <c r="A42" s="2"/>
      <c r="B42" s="2"/>
      <c r="C42" s="2"/>
      <c r="D42" s="2"/>
      <c r="E42" s="2"/>
      <c r="F42" s="2"/>
      <c r="G42" s="2"/>
      <c r="H42" s="2"/>
      <c r="I42" s="2"/>
      <c r="J42" s="2"/>
      <c r="K42" s="2"/>
      <c r="L42" s="2"/>
      <c r="M42" s="2"/>
      <c r="N42" s="2"/>
      <c r="O42" s="2"/>
      <c r="P42" s="2"/>
      <c r="Q42" s="2"/>
      <c r="R42" s="2"/>
    </row>
    <row r="43" spans="1:18" x14ac:dyDescent="0.35">
      <c r="A43" s="2"/>
      <c r="B43" s="2"/>
      <c r="C43" s="2"/>
      <c r="D43" s="2"/>
      <c r="E43" s="2"/>
      <c r="F43" s="2"/>
      <c r="G43" s="2"/>
      <c r="H43" s="2"/>
      <c r="I43" s="2"/>
      <c r="J43" s="2"/>
      <c r="K43" s="2"/>
      <c r="L43" s="2"/>
      <c r="M43" s="2"/>
      <c r="N43" s="2"/>
      <c r="O43" s="2"/>
      <c r="P43" s="2"/>
      <c r="Q43" s="2"/>
      <c r="R43" s="2"/>
    </row>
    <row r="44" spans="1:18" x14ac:dyDescent="0.35">
      <c r="A44" s="2"/>
      <c r="B44" s="2"/>
      <c r="C44" s="2"/>
      <c r="D44" s="2"/>
      <c r="E44" s="2"/>
      <c r="F44" s="2"/>
      <c r="G44" s="2"/>
      <c r="H44" s="2"/>
      <c r="I44" s="2"/>
      <c r="J44" s="2"/>
      <c r="K44" s="2"/>
      <c r="L44" s="2"/>
      <c r="M44" s="2"/>
      <c r="N44" s="2"/>
      <c r="O44" s="2"/>
      <c r="P44" s="2"/>
      <c r="Q44" s="2"/>
      <c r="R44" s="2"/>
    </row>
    <row r="45" spans="1:18" x14ac:dyDescent="0.35">
      <c r="A45" s="2"/>
      <c r="B45" s="2"/>
      <c r="C45" s="2"/>
      <c r="D45" s="2"/>
      <c r="E45" s="2"/>
      <c r="F45" s="2"/>
      <c r="G45" s="2"/>
      <c r="H45" s="2"/>
      <c r="I45" s="2"/>
      <c r="J45" s="2"/>
      <c r="K45" s="2"/>
      <c r="L45" s="2"/>
      <c r="M45" s="2"/>
      <c r="N45" s="2"/>
      <c r="O45" s="2"/>
      <c r="P45" s="2"/>
      <c r="Q45" s="2"/>
      <c r="R45" s="2"/>
    </row>
    <row r="46" spans="1:18" x14ac:dyDescent="0.35">
      <c r="A46" s="2"/>
      <c r="B46" s="2"/>
      <c r="C46" s="2"/>
      <c r="D46" s="2"/>
      <c r="E46" s="2"/>
      <c r="F46" s="2"/>
      <c r="G46" s="2"/>
      <c r="H46" s="2"/>
      <c r="I46" s="2"/>
      <c r="J46" s="2"/>
      <c r="K46" s="2"/>
      <c r="L46" s="2"/>
      <c r="M46" s="2"/>
      <c r="N46" s="2"/>
      <c r="O46" s="2"/>
      <c r="P46" s="2"/>
      <c r="Q46" s="2"/>
      <c r="R46" s="2"/>
    </row>
    <row r="47" spans="1:18" x14ac:dyDescent="0.35">
      <c r="A47" s="2"/>
      <c r="B47" s="2"/>
      <c r="C47" s="2"/>
      <c r="D47" s="2"/>
      <c r="E47" s="2"/>
      <c r="F47" s="2"/>
      <c r="G47" s="2"/>
      <c r="H47" s="2"/>
      <c r="I47" s="2"/>
      <c r="J47" s="2"/>
      <c r="K47" s="2"/>
      <c r="L47" s="2"/>
      <c r="M47" s="2"/>
      <c r="N47" s="2"/>
      <c r="O47" s="2"/>
      <c r="P47" s="2"/>
      <c r="Q47" s="2"/>
      <c r="R47" s="2"/>
    </row>
    <row r="48" spans="1:18" x14ac:dyDescent="0.35">
      <c r="A48" s="2"/>
      <c r="B48" s="2"/>
      <c r="C48" s="2"/>
      <c r="D48" s="2"/>
      <c r="E48" s="2"/>
      <c r="F48" s="2"/>
      <c r="G48" s="2"/>
      <c r="H48" s="2"/>
      <c r="I48" s="2"/>
      <c r="J48" s="2"/>
      <c r="K48" s="2"/>
      <c r="L48" s="2"/>
      <c r="M48" s="2"/>
      <c r="N48" s="2"/>
      <c r="O48" s="2"/>
      <c r="P48" s="2"/>
      <c r="Q48" s="2"/>
      <c r="R48" s="2"/>
    </row>
    <row r="49" spans="1:18" x14ac:dyDescent="0.35">
      <c r="A49" s="2"/>
      <c r="B49" s="2"/>
      <c r="C49" s="2"/>
      <c r="D49" s="2"/>
      <c r="E49" s="2"/>
      <c r="F49" s="2"/>
      <c r="G49" s="2"/>
      <c r="H49" s="2"/>
      <c r="I49" s="2"/>
      <c r="J49" s="2"/>
      <c r="K49" s="2"/>
      <c r="L49" s="2"/>
      <c r="M49" s="2"/>
      <c r="N49" s="2"/>
      <c r="O49" s="2"/>
      <c r="P49" s="2"/>
      <c r="Q49" s="2"/>
      <c r="R49" s="2"/>
    </row>
    <row r="50" spans="1:18" x14ac:dyDescent="0.35">
      <c r="A50" s="2"/>
      <c r="B50" s="2"/>
      <c r="C50" s="2"/>
      <c r="D50" s="2"/>
      <c r="E50" s="2"/>
      <c r="F50" s="2"/>
      <c r="G50" s="2"/>
      <c r="H50" s="2"/>
      <c r="I50" s="2"/>
      <c r="J50" s="2"/>
      <c r="K50" s="2"/>
      <c r="L50" s="2"/>
      <c r="M50" s="2"/>
      <c r="N50" s="2"/>
      <c r="O50" s="2"/>
      <c r="P50" s="2"/>
      <c r="Q50" s="2"/>
      <c r="R50" s="2"/>
    </row>
    <row r="51" spans="1:18" x14ac:dyDescent="0.35">
      <c r="A51" s="2"/>
      <c r="B51" s="2"/>
      <c r="C51" s="2"/>
      <c r="D51" s="2"/>
      <c r="E51" s="2"/>
      <c r="F51" s="2"/>
      <c r="G51" s="2"/>
      <c r="H51" s="2"/>
      <c r="I51" s="2"/>
      <c r="J51" s="2"/>
      <c r="K51" s="2"/>
      <c r="L51" s="2"/>
      <c r="M51" s="2"/>
      <c r="N51" s="2"/>
      <c r="O51" s="2"/>
      <c r="P51" s="2"/>
      <c r="Q51" s="2"/>
      <c r="R51" s="2"/>
    </row>
    <row r="52" spans="1:18" x14ac:dyDescent="0.35">
      <c r="A52" s="2"/>
      <c r="B52" s="2"/>
      <c r="C52" s="2"/>
      <c r="D52" s="2"/>
      <c r="E52" s="2"/>
      <c r="F52" s="2"/>
      <c r="G52" s="2"/>
      <c r="H52" s="2"/>
      <c r="I52" s="2"/>
      <c r="J52" s="2"/>
      <c r="K52" s="2"/>
      <c r="L52" s="2"/>
      <c r="M52" s="2"/>
      <c r="N52" s="2"/>
      <c r="O52" s="2"/>
      <c r="P52" s="2"/>
      <c r="Q52" s="2"/>
      <c r="R52" s="2"/>
    </row>
    <row r="53" spans="1:18" x14ac:dyDescent="0.35">
      <c r="A53" s="2"/>
      <c r="B53" s="2"/>
      <c r="C53" s="2"/>
      <c r="D53" s="2"/>
      <c r="E53" s="2"/>
      <c r="F53" s="2"/>
      <c r="G53" s="2"/>
      <c r="H53" s="2"/>
      <c r="I53" s="2"/>
      <c r="J53" s="2"/>
      <c r="K53" s="2"/>
      <c r="L53" s="2"/>
      <c r="M53" s="2"/>
      <c r="N53" s="2"/>
      <c r="O53" s="2"/>
      <c r="P53" s="2"/>
      <c r="Q53" s="2"/>
      <c r="R53" s="2"/>
    </row>
    <row r="54" spans="1:18" x14ac:dyDescent="0.35">
      <c r="A54" s="2"/>
      <c r="B54" s="2"/>
      <c r="C54" s="2"/>
      <c r="D54" s="2"/>
      <c r="E54" s="2"/>
      <c r="F54" s="2"/>
      <c r="G54" s="2"/>
      <c r="H54" s="2"/>
      <c r="I54" s="2"/>
      <c r="J54" s="2"/>
      <c r="K54" s="2"/>
      <c r="L54" s="2"/>
      <c r="M54" s="2"/>
      <c r="N54" s="2"/>
      <c r="O54" s="2"/>
      <c r="P54" s="2"/>
      <c r="Q54" s="2"/>
      <c r="R54" s="2"/>
    </row>
    <row r="55" spans="1:18" x14ac:dyDescent="0.35">
      <c r="A55" s="2"/>
      <c r="B55" s="2"/>
      <c r="C55" s="2"/>
      <c r="D55" s="2"/>
      <c r="E55" s="2"/>
      <c r="F55" s="2"/>
      <c r="G55" s="2"/>
      <c r="H55" s="2"/>
      <c r="I55" s="2"/>
      <c r="J55" s="2"/>
      <c r="K55" s="2"/>
      <c r="L55" s="2"/>
      <c r="M55" s="2"/>
      <c r="N55" s="2"/>
      <c r="O55" s="2"/>
      <c r="P55" s="2"/>
      <c r="Q55" s="2"/>
      <c r="R55" s="2"/>
    </row>
    <row r="56" spans="1:18" x14ac:dyDescent="0.35">
      <c r="A56" s="2"/>
      <c r="B56" s="2"/>
      <c r="C56" s="2"/>
      <c r="D56" s="2"/>
      <c r="E56" s="2"/>
      <c r="F56" s="2"/>
      <c r="G56" s="2"/>
      <c r="H56" s="2"/>
      <c r="I56" s="2"/>
      <c r="J56" s="2"/>
      <c r="K56" s="2"/>
      <c r="L56" s="2"/>
      <c r="M56" s="2"/>
      <c r="N56" s="2"/>
      <c r="O56" s="2"/>
      <c r="P56" s="2"/>
      <c r="Q56" s="2"/>
      <c r="R56" s="2"/>
    </row>
    <row r="57" spans="1:18" x14ac:dyDescent="0.35">
      <c r="A57" s="2"/>
      <c r="B57" s="2"/>
      <c r="C57" s="2"/>
      <c r="D57" s="2"/>
      <c r="E57" s="2"/>
      <c r="F57" s="2"/>
      <c r="G57" s="2"/>
      <c r="H57" s="2"/>
      <c r="I57" s="2"/>
      <c r="J57" s="2"/>
      <c r="K57" s="2"/>
      <c r="L57" s="2"/>
      <c r="M57" s="2"/>
      <c r="N57" s="2"/>
      <c r="O57" s="2"/>
      <c r="P57" s="2"/>
      <c r="Q57" s="2"/>
      <c r="R57" s="2"/>
    </row>
    <row r="58" spans="1:18" x14ac:dyDescent="0.35">
      <c r="A58" s="2"/>
      <c r="B58" s="2"/>
      <c r="C58" s="2"/>
      <c r="D58" s="2"/>
      <c r="E58" s="2"/>
      <c r="F58" s="2"/>
      <c r="G58" s="2"/>
      <c r="H58" s="2"/>
      <c r="I58" s="2"/>
      <c r="J58" s="2"/>
      <c r="K58" s="2"/>
      <c r="L58" s="2"/>
      <c r="M58" s="2"/>
      <c r="N58" s="2"/>
      <c r="O58" s="2"/>
      <c r="P58" s="2"/>
      <c r="Q58" s="2"/>
      <c r="R58" s="2"/>
    </row>
    <row r="59" spans="1:18" x14ac:dyDescent="0.35">
      <c r="A59" s="2"/>
      <c r="B59" s="2"/>
      <c r="C59" s="2"/>
      <c r="D59" s="2"/>
      <c r="E59" s="2"/>
      <c r="F59" s="2"/>
      <c r="G59" s="2"/>
      <c r="H59" s="2"/>
      <c r="I59" s="2"/>
      <c r="J59" s="2"/>
      <c r="K59" s="2"/>
      <c r="L59" s="2"/>
      <c r="M59" s="2"/>
      <c r="N59" s="2"/>
      <c r="O59" s="2"/>
      <c r="P59" s="2"/>
      <c r="Q59" s="2"/>
      <c r="R59" s="2"/>
    </row>
    <row r="60" spans="1:18" x14ac:dyDescent="0.35">
      <c r="A60" s="2"/>
      <c r="B60" s="2"/>
      <c r="C60" s="2"/>
      <c r="D60" s="2"/>
      <c r="E60" s="2"/>
      <c r="F60" s="2"/>
      <c r="G60" s="2"/>
      <c r="H60" s="2"/>
      <c r="I60" s="2"/>
      <c r="J60" s="2"/>
      <c r="K60" s="2"/>
      <c r="L60" s="2"/>
      <c r="M60" s="2"/>
      <c r="N60" s="2"/>
      <c r="O60" s="2"/>
      <c r="P60" s="2"/>
      <c r="Q60" s="2"/>
      <c r="R60" s="2"/>
    </row>
    <row r="61" spans="1:18" x14ac:dyDescent="0.35">
      <c r="A61" s="2"/>
      <c r="B61" s="2"/>
      <c r="C61" s="2"/>
      <c r="D61" s="2"/>
      <c r="E61" s="2"/>
      <c r="F61" s="2"/>
      <c r="G61" s="2"/>
      <c r="H61" s="2"/>
      <c r="I61" s="2"/>
      <c r="J61" s="2"/>
      <c r="K61" s="2"/>
      <c r="L61" s="2"/>
      <c r="M61" s="2"/>
      <c r="N61" s="2"/>
      <c r="O61" s="2"/>
      <c r="P61" s="2"/>
      <c r="Q61" s="2"/>
      <c r="R61" s="2"/>
    </row>
    <row r="62" spans="1:18" x14ac:dyDescent="0.35">
      <c r="A62" s="2"/>
      <c r="B62" s="2"/>
      <c r="C62" s="2"/>
      <c r="D62" s="2"/>
      <c r="E62" s="2"/>
      <c r="F62" s="2"/>
      <c r="G62" s="2"/>
      <c r="H62" s="2"/>
      <c r="I62" s="2"/>
      <c r="J62" s="2"/>
      <c r="K62" s="2"/>
      <c r="L62" s="2"/>
      <c r="M62" s="2"/>
      <c r="N62" s="2"/>
      <c r="O62" s="2"/>
      <c r="P62" s="2"/>
      <c r="Q62" s="2"/>
      <c r="R62" s="2"/>
    </row>
    <row r="63" spans="1:18" x14ac:dyDescent="0.35">
      <c r="A63" s="2"/>
      <c r="B63" s="2"/>
      <c r="C63" s="2"/>
      <c r="D63" s="2"/>
      <c r="E63" s="2"/>
      <c r="F63" s="2"/>
      <c r="G63" s="2"/>
      <c r="H63" s="2"/>
      <c r="I63" s="2"/>
      <c r="J63" s="2"/>
      <c r="K63" s="2"/>
      <c r="L63" s="2"/>
      <c r="M63" s="2"/>
      <c r="N63" s="2"/>
      <c r="O63" s="2"/>
      <c r="P63" s="2"/>
      <c r="Q63" s="2"/>
      <c r="R63" s="2"/>
    </row>
    <row r="64" spans="1:18" x14ac:dyDescent="0.35">
      <c r="A64" s="2"/>
      <c r="B64" s="2"/>
      <c r="C64" s="2"/>
      <c r="D64" s="2"/>
      <c r="E64" s="2"/>
      <c r="F64" s="2"/>
      <c r="G64" s="2"/>
      <c r="H64" s="2"/>
      <c r="I64" s="2"/>
      <c r="J64" s="2"/>
      <c r="K64" s="2"/>
      <c r="L64" s="2"/>
      <c r="M64" s="2"/>
      <c r="N64" s="2"/>
      <c r="O64" s="2"/>
      <c r="P64" s="2"/>
      <c r="Q64" s="2"/>
      <c r="R64" s="2"/>
    </row>
    <row r="65" spans="1:18" x14ac:dyDescent="0.35">
      <c r="A65" s="2"/>
      <c r="B65" s="2"/>
      <c r="C65" s="2"/>
      <c r="D65" s="2"/>
      <c r="E65" s="2"/>
      <c r="F65" s="2"/>
      <c r="G65" s="2"/>
      <c r="H65" s="2"/>
      <c r="I65" s="2"/>
      <c r="J65" s="2"/>
      <c r="K65" s="2"/>
      <c r="L65" s="2"/>
      <c r="M65" s="2"/>
      <c r="N65" s="2"/>
      <c r="O65" s="2"/>
      <c r="P65" s="2"/>
      <c r="Q65" s="2"/>
      <c r="R65" s="2"/>
    </row>
    <row r="66" spans="1:18" x14ac:dyDescent="0.35">
      <c r="A66" s="2"/>
      <c r="B66" s="2"/>
      <c r="C66" s="2"/>
      <c r="D66" s="2"/>
      <c r="E66" s="2"/>
      <c r="F66" s="2"/>
      <c r="G66" s="2"/>
      <c r="H66" s="2"/>
      <c r="I66" s="2"/>
      <c r="J66" s="2"/>
      <c r="K66" s="2"/>
      <c r="L66" s="2"/>
      <c r="M66" s="2"/>
      <c r="N66" s="2"/>
      <c r="O66" s="2"/>
      <c r="P66" s="2"/>
      <c r="Q66" s="2"/>
      <c r="R66" s="2"/>
    </row>
    <row r="67" spans="1:18" x14ac:dyDescent="0.35">
      <c r="A67" s="2"/>
      <c r="B67" s="2"/>
      <c r="C67" s="2"/>
      <c r="D67" s="2"/>
      <c r="E67" s="2"/>
      <c r="F67" s="2"/>
      <c r="G67" s="2"/>
      <c r="H67" s="2"/>
      <c r="I67" s="2"/>
      <c r="J67" s="2"/>
      <c r="K67" s="2"/>
      <c r="L67" s="2"/>
      <c r="M67" s="2"/>
      <c r="N67" s="2"/>
      <c r="O67" s="2"/>
      <c r="P67" s="2"/>
      <c r="Q67" s="2"/>
      <c r="R67" s="2"/>
    </row>
    <row r="68" spans="1:18" x14ac:dyDescent="0.35">
      <c r="A68" s="2"/>
      <c r="B68" s="2"/>
      <c r="C68" s="2"/>
      <c r="D68" s="2"/>
      <c r="E68" s="2"/>
      <c r="F68" s="2"/>
      <c r="G68" s="2"/>
      <c r="H68" s="2"/>
      <c r="I68" s="2"/>
      <c r="J68" s="2"/>
      <c r="K68" s="2"/>
      <c r="L68" s="2"/>
      <c r="M68" s="2"/>
      <c r="N68" s="2"/>
      <c r="O68" s="2"/>
      <c r="P68" s="2"/>
      <c r="Q68" s="2"/>
      <c r="R68" s="2"/>
    </row>
    <row r="69" spans="1:18" x14ac:dyDescent="0.35">
      <c r="A69" s="2"/>
      <c r="B69" s="2"/>
      <c r="C69" s="2"/>
      <c r="D69" s="2"/>
      <c r="E69" s="2"/>
      <c r="F69" s="2"/>
      <c r="G69" s="2"/>
      <c r="H69" s="2"/>
      <c r="I69" s="2"/>
      <c r="J69" s="2"/>
      <c r="K69" s="2"/>
      <c r="L69" s="2"/>
      <c r="M69" s="2"/>
      <c r="N69" s="2"/>
      <c r="O69" s="2"/>
      <c r="P69" s="2"/>
      <c r="Q69" s="2"/>
      <c r="R69" s="2"/>
    </row>
    <row r="70" spans="1:18" x14ac:dyDescent="0.35">
      <c r="A70" s="2"/>
      <c r="B70" s="2"/>
      <c r="C70" s="2"/>
      <c r="D70" s="2"/>
      <c r="E70" s="2"/>
      <c r="F70" s="2"/>
      <c r="G70" s="2"/>
      <c r="H70" s="2"/>
      <c r="I70" s="2"/>
      <c r="J70" s="2"/>
      <c r="K70" s="2"/>
      <c r="L70" s="2"/>
      <c r="M70" s="2"/>
      <c r="N70" s="2"/>
      <c r="O70" s="2"/>
      <c r="P70" s="2"/>
      <c r="Q70" s="2"/>
      <c r="R70" s="2"/>
    </row>
    <row r="71" spans="1:18" x14ac:dyDescent="0.35">
      <c r="A71" s="2"/>
      <c r="B71" s="2"/>
      <c r="C71" s="2"/>
      <c r="D71" s="2"/>
      <c r="E71" s="2"/>
      <c r="F71" s="2"/>
      <c r="G71" s="2"/>
      <c r="H71" s="2"/>
      <c r="I71" s="2"/>
      <c r="J71" s="2"/>
      <c r="K71" s="2"/>
      <c r="L71" s="2"/>
      <c r="M71" s="2"/>
      <c r="N71" s="2"/>
      <c r="O71" s="2"/>
      <c r="P71" s="2"/>
      <c r="Q71" s="2"/>
      <c r="R71" s="2"/>
    </row>
    <row r="72" spans="1:18" x14ac:dyDescent="0.35">
      <c r="A72" s="2"/>
      <c r="B72" s="2"/>
      <c r="C72" s="2"/>
      <c r="D72" s="2"/>
      <c r="E72" s="2"/>
      <c r="F72" s="2"/>
      <c r="G72" s="2"/>
      <c r="H72" s="2"/>
      <c r="I72" s="2"/>
      <c r="J72" s="2"/>
      <c r="K72" s="2"/>
      <c r="L72" s="2"/>
      <c r="M72" s="2"/>
      <c r="N72" s="2"/>
      <c r="O72" s="2"/>
      <c r="P72" s="2"/>
      <c r="Q72" s="2"/>
      <c r="R72" s="2"/>
    </row>
    <row r="73" spans="1:18" x14ac:dyDescent="0.35">
      <c r="A73" s="2"/>
      <c r="B73" s="2"/>
      <c r="C73" s="2"/>
      <c r="D73" s="2"/>
      <c r="E73" s="2"/>
      <c r="F73" s="2"/>
      <c r="G73" s="2"/>
      <c r="H73" s="2"/>
      <c r="I73" s="2"/>
      <c r="J73" s="2"/>
      <c r="K73" s="2"/>
      <c r="L73" s="2"/>
      <c r="M73" s="2"/>
      <c r="N73" s="2"/>
      <c r="O73" s="2"/>
      <c r="P73" s="2"/>
      <c r="Q73" s="2"/>
      <c r="R73" s="2"/>
    </row>
    <row r="74" spans="1:18" x14ac:dyDescent="0.35">
      <c r="A74" s="2"/>
      <c r="B74" s="2"/>
      <c r="C74" s="2"/>
      <c r="D74" s="2"/>
      <c r="E74" s="2"/>
      <c r="F74" s="2"/>
      <c r="G74" s="2"/>
      <c r="H74" s="2"/>
      <c r="I74" s="2"/>
      <c r="J74" s="2"/>
      <c r="K74" s="2"/>
      <c r="L74" s="2"/>
      <c r="M74" s="2"/>
      <c r="N74" s="2"/>
      <c r="O74" s="2"/>
      <c r="P74" s="2"/>
      <c r="Q74" s="2"/>
      <c r="R74" s="2"/>
    </row>
    <row r="75" spans="1:18" x14ac:dyDescent="0.35">
      <c r="A75" s="2"/>
      <c r="B75" s="2"/>
      <c r="C75" s="2"/>
      <c r="D75" s="2"/>
      <c r="E75" s="2"/>
      <c r="F75" s="2"/>
      <c r="G75" s="2"/>
      <c r="H75" s="2"/>
      <c r="I75" s="2"/>
      <c r="J75" s="2"/>
      <c r="K75" s="2"/>
      <c r="L75" s="2"/>
      <c r="M75" s="2"/>
      <c r="N75" s="2"/>
      <c r="O75" s="2"/>
      <c r="P75" s="2"/>
      <c r="Q75" s="2"/>
      <c r="R75" s="2"/>
    </row>
    <row r="76" spans="1:18" x14ac:dyDescent="0.35">
      <c r="A76" s="2"/>
      <c r="B76" s="2"/>
      <c r="C76" s="2"/>
      <c r="D76" s="2"/>
      <c r="E76" s="2"/>
      <c r="F76" s="2"/>
      <c r="G76" s="2"/>
      <c r="H76" s="2"/>
      <c r="I76" s="2"/>
      <c r="J76" s="2"/>
      <c r="K76" s="2"/>
      <c r="L76" s="2"/>
      <c r="M76" s="2"/>
      <c r="N76" s="2"/>
      <c r="O76" s="2"/>
      <c r="P76" s="2"/>
      <c r="Q76" s="2"/>
      <c r="R76" s="2"/>
    </row>
    <row r="77" spans="1:18" x14ac:dyDescent="0.35">
      <c r="A77" s="2"/>
      <c r="B77" s="2"/>
      <c r="C77" s="2"/>
      <c r="D77" s="2"/>
      <c r="E77" s="2"/>
      <c r="F77" s="2"/>
      <c r="G77" s="2"/>
      <c r="H77" s="2"/>
      <c r="I77" s="2"/>
      <c r="J77" s="2"/>
      <c r="K77" s="2"/>
      <c r="L77" s="2"/>
      <c r="M77" s="2"/>
      <c r="N77" s="2"/>
      <c r="O77" s="2"/>
      <c r="P77" s="2"/>
      <c r="Q77" s="2"/>
      <c r="R77" s="2"/>
    </row>
    <row r="78" spans="1:18" x14ac:dyDescent="0.35">
      <c r="A78" s="2"/>
      <c r="B78" s="2"/>
      <c r="C78" s="2"/>
      <c r="D78" s="2"/>
      <c r="E78" s="2"/>
      <c r="F78" s="2"/>
      <c r="G78" s="2"/>
      <c r="H78" s="2"/>
      <c r="I78" s="2"/>
      <c r="J78" s="2"/>
      <c r="K78" s="2"/>
      <c r="L78" s="2"/>
      <c r="M78" s="2"/>
      <c r="N78" s="2"/>
      <c r="O78" s="2"/>
      <c r="P78" s="2"/>
      <c r="Q78" s="2"/>
      <c r="R78" s="2"/>
    </row>
    <row r="79" spans="1:18" x14ac:dyDescent="0.35">
      <c r="A79" s="2"/>
      <c r="B79" s="2"/>
      <c r="C79" s="2"/>
      <c r="D79" s="2"/>
      <c r="E79" s="2"/>
      <c r="F79" s="2"/>
      <c r="G79" s="2"/>
      <c r="H79" s="2"/>
      <c r="I79" s="2"/>
      <c r="J79" s="2"/>
      <c r="K79" s="2"/>
      <c r="L79" s="2"/>
      <c r="M79" s="2"/>
      <c r="N79" s="2"/>
      <c r="O79" s="2"/>
      <c r="P79" s="2"/>
      <c r="Q79" s="2"/>
      <c r="R79" s="2"/>
    </row>
    <row r="80" spans="1:18" x14ac:dyDescent="0.35">
      <c r="A80" s="2"/>
      <c r="B80" s="2"/>
      <c r="C80" s="2"/>
      <c r="D80" s="2"/>
      <c r="E80" s="2"/>
      <c r="F80" s="2"/>
      <c r="G80" s="2"/>
      <c r="H80" s="2"/>
      <c r="I80" s="2"/>
      <c r="J80" s="2"/>
      <c r="K80" s="2"/>
      <c r="L80" s="2"/>
      <c r="M80" s="2"/>
      <c r="N80" s="2"/>
      <c r="O80" s="2"/>
      <c r="P80" s="2"/>
      <c r="Q80" s="2"/>
      <c r="R80" s="2"/>
    </row>
    <row r="81" spans="1:18" x14ac:dyDescent="0.35">
      <c r="A81" s="2"/>
      <c r="B81" s="2"/>
      <c r="C81" s="2"/>
      <c r="D81" s="2"/>
      <c r="E81" s="2"/>
      <c r="F81" s="2"/>
      <c r="G81" s="2"/>
      <c r="H81" s="2"/>
      <c r="I81" s="2"/>
      <c r="J81" s="2"/>
      <c r="K81" s="2"/>
      <c r="L81" s="2"/>
      <c r="M81" s="2"/>
      <c r="N81" s="2"/>
      <c r="O81" s="2"/>
      <c r="P81" s="2"/>
      <c r="Q81" s="2"/>
      <c r="R81" s="2"/>
    </row>
    <row r="82" spans="1:18" x14ac:dyDescent="0.35">
      <c r="A82" s="2"/>
      <c r="B82" s="2"/>
      <c r="C82" s="2"/>
      <c r="D82" s="2"/>
      <c r="E82" s="2"/>
      <c r="F82" s="2"/>
      <c r="G82" s="2"/>
      <c r="H82" s="2"/>
      <c r="I82" s="2"/>
      <c r="J82" s="2"/>
      <c r="K82" s="2"/>
      <c r="L82" s="2"/>
      <c r="M82" s="2"/>
      <c r="N82" s="2"/>
      <c r="O82" s="2"/>
      <c r="P82" s="2"/>
      <c r="Q82" s="2"/>
      <c r="R82" s="2"/>
    </row>
    <row r="83" spans="1:18" x14ac:dyDescent="0.35">
      <c r="A83" s="2"/>
      <c r="B83" s="2"/>
      <c r="C83" s="2"/>
      <c r="D83" s="2"/>
      <c r="E83" s="2"/>
      <c r="F83" s="2"/>
      <c r="G83" s="2"/>
      <c r="H83" s="2"/>
      <c r="I83" s="2"/>
      <c r="J83" s="2"/>
      <c r="K83" s="2"/>
      <c r="L83" s="2"/>
      <c r="M83" s="2"/>
      <c r="N83" s="2"/>
      <c r="O83" s="2"/>
      <c r="P83" s="2"/>
      <c r="Q83" s="2"/>
      <c r="R83" s="2"/>
    </row>
    <row r="84" spans="1:18" x14ac:dyDescent="0.35">
      <c r="A84" s="2"/>
      <c r="B84" s="2"/>
      <c r="C84" s="2"/>
      <c r="D84" s="2"/>
      <c r="E84" s="2"/>
      <c r="F84" s="2"/>
      <c r="G84" s="2"/>
      <c r="H84" s="2"/>
      <c r="I84" s="2"/>
      <c r="J84" s="2"/>
      <c r="K84" s="2"/>
      <c r="L84" s="2"/>
      <c r="M84" s="2"/>
      <c r="N84" s="2"/>
      <c r="O84" s="2"/>
      <c r="P84" s="2"/>
      <c r="Q84" s="2"/>
      <c r="R84" s="2"/>
    </row>
    <row r="85" spans="1:18" x14ac:dyDescent="0.35">
      <c r="A85" s="2"/>
      <c r="B85" s="2"/>
      <c r="C85" s="2"/>
      <c r="D85" s="2"/>
      <c r="E85" s="2"/>
      <c r="F85" s="2"/>
      <c r="G85" s="2"/>
      <c r="H85" s="2"/>
      <c r="I85" s="2"/>
      <c r="J85" s="2"/>
      <c r="K85" s="2"/>
      <c r="L85" s="2"/>
      <c r="M85" s="2"/>
      <c r="N85" s="2"/>
      <c r="O85" s="2"/>
      <c r="P85" s="2"/>
      <c r="Q85" s="2"/>
      <c r="R85" s="2"/>
    </row>
    <row r="86" spans="1:18" x14ac:dyDescent="0.35">
      <c r="A86" s="2"/>
      <c r="B86" s="2"/>
      <c r="C86" s="2"/>
      <c r="D86" s="2"/>
      <c r="E86" s="2"/>
      <c r="F86" s="2"/>
      <c r="G86" s="2"/>
      <c r="H86" s="2"/>
      <c r="I86" s="2"/>
      <c r="J86" s="2"/>
      <c r="K86" s="2"/>
      <c r="L86" s="2"/>
      <c r="M86" s="2"/>
      <c r="N86" s="2"/>
      <c r="O86" s="2"/>
      <c r="P86" s="2"/>
      <c r="Q86" s="2"/>
      <c r="R86" s="2"/>
    </row>
  </sheetData>
  <mergeCells count="1">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CC8DE-68BB-4857-B230-A3AF5E90627F}">
  <dimension ref="A1:N54"/>
  <sheetViews>
    <sheetView showGridLines="0" tabSelected="1" zoomScale="60" zoomScaleNormal="60" workbookViewId="0">
      <selection activeCell="O21" sqref="O21"/>
    </sheetView>
  </sheetViews>
  <sheetFormatPr defaultRowHeight="14" x14ac:dyDescent="0.3"/>
  <cols>
    <col min="1" max="1" width="8.7265625" style="2"/>
    <col min="2" max="2" width="18.453125" style="2" customWidth="1"/>
    <col min="3" max="4" width="8.7265625" style="2"/>
    <col min="5" max="5" width="22.54296875" style="2" customWidth="1"/>
    <col min="6" max="6" width="13.90625" style="2" customWidth="1"/>
    <col min="7" max="7" width="6.6328125" style="2" customWidth="1"/>
    <col min="8" max="8" width="26.26953125" style="2" customWidth="1"/>
    <col min="9" max="9" width="8.7265625" style="2"/>
    <col min="10" max="10" width="5.7265625" style="2" customWidth="1"/>
    <col min="11" max="11" width="22.1796875" style="2" customWidth="1"/>
    <col min="12" max="16384" width="8.7265625" style="2"/>
  </cols>
  <sheetData>
    <row r="1" spans="1:12" x14ac:dyDescent="0.3">
      <c r="A1" s="24" t="s">
        <v>161</v>
      </c>
      <c r="B1" s="24"/>
      <c r="C1" s="24"/>
      <c r="D1" s="24"/>
      <c r="E1" s="24"/>
      <c r="F1" s="24"/>
      <c r="G1" s="24"/>
      <c r="H1" s="24"/>
      <c r="I1" s="24"/>
      <c r="J1" s="24"/>
      <c r="K1" s="24"/>
      <c r="L1" s="24"/>
    </row>
    <row r="2" spans="1:12" x14ac:dyDescent="0.3">
      <c r="A2" s="24"/>
      <c r="B2" s="24"/>
      <c r="C2" s="24"/>
      <c r="D2" s="24"/>
      <c r="E2" s="24"/>
      <c r="F2" s="24"/>
      <c r="G2" s="24"/>
      <c r="H2" s="24"/>
      <c r="I2" s="24"/>
      <c r="J2" s="24"/>
      <c r="K2" s="24"/>
      <c r="L2" s="24"/>
    </row>
    <row r="3" spans="1:12" x14ac:dyDescent="0.3">
      <c r="A3" s="24"/>
      <c r="B3" s="24"/>
      <c r="C3" s="24"/>
      <c r="D3" s="24"/>
      <c r="E3" s="24"/>
      <c r="F3" s="24"/>
      <c r="G3" s="24"/>
      <c r="H3" s="24"/>
      <c r="I3" s="24"/>
      <c r="J3" s="24"/>
      <c r="K3" s="24"/>
      <c r="L3" s="24"/>
    </row>
    <row r="4" spans="1:12" x14ac:dyDescent="0.3">
      <c r="A4" s="4"/>
      <c r="B4" s="4"/>
      <c r="C4" s="4"/>
      <c r="D4" s="4"/>
      <c r="E4" s="4"/>
      <c r="F4" s="4"/>
      <c r="G4" s="4"/>
      <c r="H4" s="4"/>
      <c r="I4" s="4"/>
      <c r="J4" s="4"/>
      <c r="K4" s="4"/>
      <c r="L4" s="4"/>
    </row>
    <row r="5" spans="1:12" ht="17.5" x14ac:dyDescent="0.35">
      <c r="B5" s="5" t="s">
        <v>156</v>
      </c>
      <c r="E5" s="5" t="s">
        <v>157</v>
      </c>
      <c r="H5" s="5" t="s">
        <v>158</v>
      </c>
      <c r="K5" s="6" t="s">
        <v>159</v>
      </c>
    </row>
    <row r="6" spans="1:12" x14ac:dyDescent="0.3">
      <c r="B6" s="7">
        <f>Analysis!B11</f>
        <v>10154925</v>
      </c>
      <c r="C6" s="8"/>
      <c r="E6" s="7">
        <f>Analysis!B21</f>
        <v>1664171</v>
      </c>
      <c r="H6" s="7">
        <f>Analysis!G24</f>
        <v>416</v>
      </c>
      <c r="K6" s="9">
        <f>Analysis!E28</f>
        <v>100</v>
      </c>
    </row>
    <row r="11" spans="1:12" x14ac:dyDescent="0.3">
      <c r="K11" s="3"/>
    </row>
    <row r="54" spans="14:14" x14ac:dyDescent="0.3">
      <c r="N54" s="10"/>
    </row>
  </sheetData>
  <mergeCells count="1">
    <mergeCell ref="A1:L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SalesData</vt:lpstr>
      <vt:lpstr>Analysis</vt:lpstr>
      <vt:lpstr>Visualization</vt:lpstr>
      <vt:lpstr>Dashoboard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Qadeer</dc:creator>
  <cp:lastModifiedBy>Abdul Qadeer</cp:lastModifiedBy>
  <dcterms:created xsi:type="dcterms:W3CDTF">2026-09-14T17:08:44Z</dcterms:created>
  <dcterms:modified xsi:type="dcterms:W3CDTF">2026-09-15T15:14:07Z</dcterms:modified>
</cp:coreProperties>
</file>